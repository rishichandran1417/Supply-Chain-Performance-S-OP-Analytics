
<file path=[Content_Types].xml><?xml version="1.0" encoding="utf-8"?>
<Types xmlns="http://schemas.openxmlformats.org/package/2006/content-types">
  <Default Extension="data" ContentType="application/vnd.openxmlformats-officedocument.model+data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pivotTables/pivotTable1.xml" ContentType="application/vnd.openxmlformats-officedocument.spreadsheetml.pivotTable+xml"/>
  <Override PartName="/xl/pivotTables/pivotTable2.xml" ContentType="application/vnd.openxmlformats-officedocument.spreadsheetml.pivotTable+xml"/>
  <Override PartName="/xl/tables/table1.xml" ContentType="application/vnd.openxmlformats-officedocument.spreadsheetml.table+xml"/>
  <Override PartName="/xl/drawings/drawing1.xml" ContentType="application/vnd.openxmlformats-officedocument.drawing+xml"/>
  <Override PartName="/xl/tables/table2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27"/>
  <workbookPr/>
  <mc:AlternateContent xmlns:mc="http://schemas.openxmlformats.org/markup-compatibility/2006">
    <mc:Choice Requires="x15">
      <x15ac:absPath xmlns:x15ac="http://schemas.microsoft.com/office/spreadsheetml/2010/11/ac" url="C:\Users\rishi\Downloads\Supply-Chain-Performance-S-OP-Analytics\"/>
    </mc:Choice>
  </mc:AlternateContent>
  <xr:revisionPtr revIDLastSave="0" documentId="13_ncr:1_{11959807-C967-47AC-A8A3-273605D6E80E}" xr6:coauthVersionLast="47" xr6:coauthVersionMax="47" xr10:uidLastSave="{00000000-0000-0000-0000-000000000000}"/>
  <bookViews>
    <workbookView xWindow="-120" yWindow="-120" windowWidth="29040" windowHeight="16440" tabRatio="500" activeTab="6" xr2:uid="{00000000-000D-0000-FFFF-FFFF00000000}"/>
  </bookViews>
  <sheets>
    <sheet name="pivot-orders" sheetId="13" r:id="rId1"/>
    <sheet name="Sheet6" sheetId="14" r:id="rId2"/>
    <sheet name="Orders" sheetId="1" r:id="rId3"/>
    <sheet name="Demand_Forecast" sheetId="2" r:id="rId4"/>
    <sheet name="Products" sheetId="3" r:id="rId5"/>
    <sheet name="Suppliers" sheetId="4" r:id="rId6"/>
    <sheet name="Summary" sheetId="7" r:id="rId7"/>
  </sheets>
  <definedNames>
    <definedName name="_xlcn.WorksheetConnection_SANOP_Dashboard_Dataset.xlsxTable11" hidden="1">Table1[]</definedName>
    <definedName name="_xlcn.WorksheetConnection_SANOP_Dashboard_Dataset.xlsxTable21" hidden="1">Table2[]</definedName>
  </definedNames>
  <calcPr calcId="191029" iterateDelta="1E-4"/>
  <pivotCaches>
    <pivotCache cacheId="0" r:id="rId8"/>
  </pivotCaches>
  <extLst>
    <ext xmlns:x15="http://schemas.microsoft.com/office/spreadsheetml/2010/11/main" uri="{FCE2AD5D-F65C-4FA6-A056-5C36A1767C68}">
      <x15:dataModel>
        <x15:modelTables>
          <x15:modelTable id="Table2" name="Table2" connection="WorksheetConnection_SANOP_Dashboard_Dataset.xlsx!Table2"/>
          <x15:modelTable id="Table1" name="Table1" connection="WorksheetConnection_SANOP_Dashboard_Dataset.xlsx!Table1"/>
        </x15:modelTables>
      </x15:dataModel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loext="http://schemas.libreoffice.org/" uri="{7626C862-2A13-11E5-B345-FEFF819CDC9F}">
      <loext:extCalcPr stringRefSyntax="ExcelA1"/>
    </ext>
  </extLst>
</workbook>
</file>

<file path=xl/calcChain.xml><?xml version="1.0" encoding="utf-8"?>
<calcChain xmlns="http://schemas.openxmlformats.org/spreadsheetml/2006/main">
  <c r="D5" i="14" l="1"/>
  <c r="D6" i="14"/>
  <c r="D4" i="14"/>
  <c r="O3" i="1"/>
  <c r="O4" i="1"/>
  <c r="O5" i="1"/>
  <c r="O6" i="1"/>
  <c r="O7" i="1"/>
  <c r="O8" i="1"/>
  <c r="O9" i="1"/>
  <c r="O10" i="1"/>
  <c r="O11" i="1"/>
  <c r="O12" i="1"/>
  <c r="O13" i="1"/>
  <c r="O14" i="1"/>
  <c r="O15" i="1"/>
  <c r="O16" i="1"/>
  <c r="O17" i="1"/>
  <c r="O18" i="1"/>
  <c r="O19" i="1"/>
  <c r="O20" i="1"/>
  <c r="O21" i="1"/>
  <c r="O22" i="1"/>
  <c r="O23" i="1"/>
  <c r="O24" i="1"/>
  <c r="O25" i="1"/>
  <c r="O26" i="1"/>
  <c r="O27" i="1"/>
  <c r="O28" i="1"/>
  <c r="O29" i="1"/>
  <c r="O30" i="1"/>
  <c r="O31" i="1"/>
  <c r="O32" i="1"/>
  <c r="O33" i="1"/>
  <c r="O34" i="1"/>
  <c r="O35" i="1"/>
  <c r="O36" i="1"/>
  <c r="O37" i="1"/>
  <c r="O38" i="1"/>
  <c r="O39" i="1"/>
  <c r="O40" i="1"/>
  <c r="O41" i="1"/>
  <c r="O42" i="1"/>
  <c r="O43" i="1"/>
  <c r="O44" i="1"/>
  <c r="O45" i="1"/>
  <c r="O46" i="1"/>
  <c r="O47" i="1"/>
  <c r="O48" i="1"/>
  <c r="O49" i="1"/>
  <c r="O50" i="1"/>
  <c r="O51" i="1"/>
  <c r="O52" i="1"/>
  <c r="O53" i="1"/>
  <c r="O54" i="1"/>
  <c r="O55" i="1"/>
  <c r="O56" i="1"/>
  <c r="O57" i="1"/>
  <c r="O58" i="1"/>
  <c r="O59" i="1"/>
  <c r="O60" i="1"/>
  <c r="O61" i="1"/>
  <c r="O62" i="1"/>
  <c r="O63" i="1"/>
  <c r="O64" i="1"/>
  <c r="O65" i="1"/>
  <c r="O66" i="1"/>
  <c r="O67" i="1"/>
  <c r="O68" i="1"/>
  <c r="O69" i="1"/>
  <c r="O70" i="1"/>
  <c r="O71" i="1"/>
  <c r="O72" i="1"/>
  <c r="O73" i="1"/>
  <c r="O74" i="1"/>
  <c r="O75" i="1"/>
  <c r="O76" i="1"/>
  <c r="O77" i="1"/>
  <c r="O78" i="1"/>
  <c r="O79" i="1"/>
  <c r="O80" i="1"/>
  <c r="O81" i="1"/>
  <c r="O82" i="1"/>
  <c r="O83" i="1"/>
  <c r="O84" i="1"/>
  <c r="O85" i="1"/>
  <c r="O86" i="1"/>
  <c r="O87" i="1"/>
  <c r="O88" i="1"/>
  <c r="O89" i="1"/>
  <c r="O90" i="1"/>
  <c r="O91" i="1"/>
  <c r="O92" i="1"/>
  <c r="O93" i="1"/>
  <c r="O94" i="1"/>
  <c r="O95" i="1"/>
  <c r="O96" i="1"/>
  <c r="O97" i="1"/>
  <c r="O98" i="1"/>
  <c r="O99" i="1"/>
  <c r="O100" i="1"/>
  <c r="O101" i="1"/>
  <c r="O102" i="1"/>
  <c r="O103" i="1"/>
  <c r="O104" i="1"/>
  <c r="O105" i="1"/>
  <c r="O106" i="1"/>
  <c r="O107" i="1"/>
  <c r="O108" i="1"/>
  <c r="O109" i="1"/>
  <c r="O110" i="1"/>
  <c r="O111" i="1"/>
  <c r="O112" i="1"/>
  <c r="O113" i="1"/>
  <c r="O114" i="1"/>
  <c r="O115" i="1"/>
  <c r="O116" i="1"/>
  <c r="O117" i="1"/>
  <c r="O118" i="1"/>
  <c r="O119" i="1"/>
  <c r="O120" i="1"/>
  <c r="O121" i="1"/>
  <c r="O122" i="1"/>
  <c r="O123" i="1"/>
  <c r="O124" i="1"/>
  <c r="O125" i="1"/>
  <c r="O126" i="1"/>
  <c r="O127" i="1"/>
  <c r="O128" i="1"/>
  <c r="O129" i="1"/>
  <c r="O130" i="1"/>
  <c r="O131" i="1"/>
  <c r="O132" i="1"/>
  <c r="O133" i="1"/>
  <c r="O134" i="1"/>
  <c r="O135" i="1"/>
  <c r="O136" i="1"/>
  <c r="O137" i="1"/>
  <c r="O138" i="1"/>
  <c r="O139" i="1"/>
  <c r="O140" i="1"/>
  <c r="O141" i="1"/>
  <c r="O142" i="1"/>
  <c r="O143" i="1"/>
  <c r="O144" i="1"/>
  <c r="O145" i="1"/>
  <c r="O146" i="1"/>
  <c r="O147" i="1"/>
  <c r="O148" i="1"/>
  <c r="O149" i="1"/>
  <c r="O150" i="1"/>
  <c r="O151" i="1"/>
  <c r="O152" i="1"/>
  <c r="O153" i="1"/>
  <c r="O154" i="1"/>
  <c r="O155" i="1"/>
  <c r="O156" i="1"/>
  <c r="O157" i="1"/>
  <c r="O158" i="1"/>
  <c r="O159" i="1"/>
  <c r="O160" i="1"/>
  <c r="O161" i="1"/>
  <c r="O162" i="1"/>
  <c r="O163" i="1"/>
  <c r="O164" i="1"/>
  <c r="O165" i="1"/>
  <c r="O166" i="1"/>
  <c r="O167" i="1"/>
  <c r="O168" i="1"/>
  <c r="O169" i="1"/>
  <c r="O170" i="1"/>
  <c r="O171" i="1"/>
  <c r="O172" i="1"/>
  <c r="O173" i="1"/>
  <c r="O174" i="1"/>
  <c r="O175" i="1"/>
  <c r="O176" i="1"/>
  <c r="O177" i="1"/>
  <c r="O178" i="1"/>
  <c r="O179" i="1"/>
  <c r="O180" i="1"/>
  <c r="O181" i="1"/>
  <c r="O182" i="1"/>
  <c r="O183" i="1"/>
  <c r="O184" i="1"/>
  <c r="O185" i="1"/>
  <c r="O186" i="1"/>
  <c r="O187" i="1"/>
  <c r="O188" i="1"/>
  <c r="O189" i="1"/>
  <c r="O190" i="1"/>
  <c r="O191" i="1"/>
  <c r="O192" i="1"/>
  <c r="O193" i="1"/>
  <c r="O194" i="1"/>
  <c r="O195" i="1"/>
  <c r="O196" i="1"/>
  <c r="O197" i="1"/>
  <c r="O198" i="1"/>
  <c r="O199" i="1"/>
  <c r="O200" i="1"/>
  <c r="O201" i="1"/>
  <c r="O202" i="1"/>
  <c r="O203" i="1"/>
  <c r="O204" i="1"/>
  <c r="O205" i="1"/>
  <c r="O206" i="1"/>
  <c r="O207" i="1"/>
  <c r="O208" i="1"/>
  <c r="O209" i="1"/>
  <c r="O210" i="1"/>
  <c r="O211" i="1"/>
  <c r="O212" i="1"/>
  <c r="O213" i="1"/>
  <c r="O214" i="1"/>
  <c r="O215" i="1"/>
  <c r="O216" i="1"/>
  <c r="O217" i="1"/>
  <c r="O218" i="1"/>
  <c r="O219" i="1"/>
  <c r="O220" i="1"/>
  <c r="O221" i="1"/>
  <c r="O222" i="1"/>
  <c r="O223" i="1"/>
  <c r="O224" i="1"/>
  <c r="O225" i="1"/>
  <c r="O226" i="1"/>
  <c r="O227" i="1"/>
  <c r="O228" i="1"/>
  <c r="O229" i="1"/>
  <c r="O230" i="1"/>
  <c r="O231" i="1"/>
  <c r="O232" i="1"/>
  <c r="O233" i="1"/>
  <c r="O234" i="1"/>
  <c r="O235" i="1"/>
  <c r="O236" i="1"/>
  <c r="O237" i="1"/>
  <c r="O238" i="1"/>
  <c r="O239" i="1"/>
  <c r="O240" i="1"/>
  <c r="O241" i="1"/>
  <c r="O242" i="1"/>
  <c r="O243" i="1"/>
  <c r="O244" i="1"/>
  <c r="O245" i="1"/>
  <c r="O246" i="1"/>
  <c r="O247" i="1"/>
  <c r="O248" i="1"/>
  <c r="O249" i="1"/>
  <c r="O250" i="1"/>
  <c r="O251" i="1"/>
  <c r="O252" i="1"/>
  <c r="O253" i="1"/>
  <c r="O254" i="1"/>
  <c r="O255" i="1"/>
  <c r="O256" i="1"/>
  <c r="O257" i="1"/>
  <c r="O258" i="1"/>
  <c r="O259" i="1"/>
  <c r="O260" i="1"/>
  <c r="O261" i="1"/>
  <c r="O262" i="1"/>
  <c r="O263" i="1"/>
  <c r="O264" i="1"/>
  <c r="O265" i="1"/>
  <c r="O266" i="1"/>
  <c r="O267" i="1"/>
  <c r="O268" i="1"/>
  <c r="O269" i="1"/>
  <c r="O270" i="1"/>
  <c r="O271" i="1"/>
  <c r="O272" i="1"/>
  <c r="O273" i="1"/>
  <c r="O274" i="1"/>
  <c r="O275" i="1"/>
  <c r="O276" i="1"/>
  <c r="O277" i="1"/>
  <c r="O278" i="1"/>
  <c r="O279" i="1"/>
  <c r="O280" i="1"/>
  <c r="O281" i="1"/>
  <c r="O282" i="1"/>
  <c r="O283" i="1"/>
  <c r="O284" i="1"/>
  <c r="O285" i="1"/>
  <c r="O286" i="1"/>
  <c r="O287" i="1"/>
  <c r="O288" i="1"/>
  <c r="O289" i="1"/>
  <c r="O290" i="1"/>
  <c r="O291" i="1"/>
  <c r="O292" i="1"/>
  <c r="O293" i="1"/>
  <c r="O294" i="1"/>
  <c r="O295" i="1"/>
  <c r="O296" i="1"/>
  <c r="O297" i="1"/>
  <c r="O298" i="1"/>
  <c r="O299" i="1"/>
  <c r="O300" i="1"/>
  <c r="O301" i="1"/>
  <c r="O302" i="1"/>
  <c r="O303" i="1"/>
  <c r="O304" i="1"/>
  <c r="O305" i="1"/>
  <c r="O306" i="1"/>
  <c r="O307" i="1"/>
  <c r="O308" i="1"/>
  <c r="O309" i="1"/>
  <c r="O310" i="1"/>
  <c r="O311" i="1"/>
  <c r="O312" i="1"/>
  <c r="O313" i="1"/>
  <c r="O314" i="1"/>
  <c r="O315" i="1"/>
  <c r="O316" i="1"/>
  <c r="O317" i="1"/>
  <c r="O318" i="1"/>
  <c r="O319" i="1"/>
  <c r="O320" i="1"/>
  <c r="O321" i="1"/>
  <c r="O322" i="1"/>
  <c r="O323" i="1"/>
  <c r="O324" i="1"/>
  <c r="O325" i="1"/>
  <c r="O326" i="1"/>
  <c r="O327" i="1"/>
  <c r="O328" i="1"/>
  <c r="O329" i="1"/>
  <c r="O330" i="1"/>
  <c r="O331" i="1"/>
  <c r="O332" i="1"/>
  <c r="O333" i="1"/>
  <c r="O334" i="1"/>
  <c r="O335" i="1"/>
  <c r="O336" i="1"/>
  <c r="O337" i="1"/>
  <c r="O338" i="1"/>
  <c r="O339" i="1"/>
  <c r="O340" i="1"/>
  <c r="O341" i="1"/>
  <c r="O342" i="1"/>
  <c r="O343" i="1"/>
  <c r="O344" i="1"/>
  <c r="O345" i="1"/>
  <c r="O346" i="1"/>
  <c r="O347" i="1"/>
  <c r="O348" i="1"/>
  <c r="O349" i="1"/>
  <c r="O350" i="1"/>
  <c r="O351" i="1"/>
  <c r="O352" i="1"/>
  <c r="O353" i="1"/>
  <c r="O354" i="1"/>
  <c r="O355" i="1"/>
  <c r="O356" i="1"/>
  <c r="O357" i="1"/>
  <c r="O358" i="1"/>
  <c r="O359" i="1"/>
  <c r="O360" i="1"/>
  <c r="O361" i="1"/>
  <c r="O362" i="1"/>
  <c r="O363" i="1"/>
  <c r="O364" i="1"/>
  <c r="O365" i="1"/>
  <c r="O366" i="1"/>
  <c r="O367" i="1"/>
  <c r="O368" i="1"/>
  <c r="O369" i="1"/>
  <c r="O370" i="1"/>
  <c r="O371" i="1"/>
  <c r="O372" i="1"/>
  <c r="O373" i="1"/>
  <c r="O374" i="1"/>
  <c r="O375" i="1"/>
  <c r="O376" i="1"/>
  <c r="O377" i="1"/>
  <c r="O378" i="1"/>
  <c r="O379" i="1"/>
  <c r="O380" i="1"/>
  <c r="O381" i="1"/>
  <c r="O382" i="1"/>
  <c r="O383" i="1"/>
  <c r="O384" i="1"/>
  <c r="O385" i="1"/>
  <c r="O386" i="1"/>
  <c r="O387" i="1"/>
  <c r="O388" i="1"/>
  <c r="O389" i="1"/>
  <c r="O390" i="1"/>
  <c r="O391" i="1"/>
  <c r="O392" i="1"/>
  <c r="O393" i="1"/>
  <c r="O394" i="1"/>
  <c r="O395" i="1"/>
  <c r="O396" i="1"/>
  <c r="O397" i="1"/>
  <c r="O398" i="1"/>
  <c r="O399" i="1"/>
  <c r="O400" i="1"/>
  <c r="O401" i="1"/>
  <c r="O402" i="1"/>
  <c r="O403" i="1"/>
  <c r="O404" i="1"/>
  <c r="O405" i="1"/>
  <c r="O406" i="1"/>
  <c r="O407" i="1"/>
  <c r="O408" i="1"/>
  <c r="O409" i="1"/>
  <c r="O410" i="1"/>
  <c r="O411" i="1"/>
  <c r="O412" i="1"/>
  <c r="O413" i="1"/>
  <c r="O414" i="1"/>
  <c r="O415" i="1"/>
  <c r="O416" i="1"/>
  <c r="O417" i="1"/>
  <c r="O418" i="1"/>
  <c r="O419" i="1"/>
  <c r="O420" i="1"/>
  <c r="O421" i="1"/>
  <c r="O422" i="1"/>
  <c r="O423" i="1"/>
  <c r="O424" i="1"/>
  <c r="O425" i="1"/>
  <c r="O426" i="1"/>
  <c r="O427" i="1"/>
  <c r="O428" i="1"/>
  <c r="O429" i="1"/>
  <c r="O430" i="1"/>
  <c r="O431" i="1"/>
  <c r="O432" i="1"/>
  <c r="O433" i="1"/>
  <c r="O434" i="1"/>
  <c r="O435" i="1"/>
  <c r="O436" i="1"/>
  <c r="O437" i="1"/>
  <c r="O438" i="1"/>
  <c r="O439" i="1"/>
  <c r="O440" i="1"/>
  <c r="O441" i="1"/>
  <c r="O442" i="1"/>
  <c r="O443" i="1"/>
  <c r="O444" i="1"/>
  <c r="O445" i="1"/>
  <c r="O446" i="1"/>
  <c r="O447" i="1"/>
  <c r="O448" i="1"/>
  <c r="O449" i="1"/>
  <c r="O450" i="1"/>
  <c r="O451" i="1"/>
  <c r="O452" i="1"/>
  <c r="O453" i="1"/>
  <c r="O454" i="1"/>
  <c r="O455" i="1"/>
  <c r="O456" i="1"/>
  <c r="O457" i="1"/>
  <c r="O458" i="1"/>
  <c r="O459" i="1"/>
  <c r="O460" i="1"/>
  <c r="O461" i="1"/>
  <c r="O462" i="1"/>
  <c r="O463" i="1"/>
  <c r="O464" i="1"/>
  <c r="O465" i="1"/>
  <c r="O466" i="1"/>
  <c r="O467" i="1"/>
  <c r="O468" i="1"/>
  <c r="O469" i="1"/>
  <c r="O470" i="1"/>
  <c r="O471" i="1"/>
  <c r="O472" i="1"/>
  <c r="O473" i="1"/>
  <c r="O474" i="1"/>
  <c r="O475" i="1"/>
  <c r="O476" i="1"/>
  <c r="O477" i="1"/>
  <c r="O478" i="1"/>
  <c r="O479" i="1"/>
  <c r="O480" i="1"/>
  <c r="O481" i="1"/>
  <c r="O482" i="1"/>
  <c r="O483" i="1"/>
  <c r="O484" i="1"/>
  <c r="O485" i="1"/>
  <c r="O486" i="1"/>
  <c r="O487" i="1"/>
  <c r="O488" i="1"/>
  <c r="O489" i="1"/>
  <c r="O490" i="1"/>
  <c r="O491" i="1"/>
  <c r="O492" i="1"/>
  <c r="O493" i="1"/>
  <c r="O494" i="1"/>
  <c r="O495" i="1"/>
  <c r="O496" i="1"/>
  <c r="O497" i="1"/>
  <c r="O498" i="1"/>
  <c r="O499" i="1"/>
  <c r="O500" i="1"/>
  <c r="O501" i="1"/>
  <c r="O502" i="1"/>
  <c r="O503" i="1"/>
  <c r="O504" i="1"/>
  <c r="O505" i="1"/>
  <c r="O506" i="1"/>
  <c r="O507" i="1"/>
  <c r="O508" i="1"/>
  <c r="O509" i="1"/>
  <c r="O510" i="1"/>
  <c r="O511" i="1"/>
  <c r="O512" i="1"/>
  <c r="O513" i="1"/>
  <c r="O514" i="1"/>
  <c r="O515" i="1"/>
  <c r="O516" i="1"/>
  <c r="O517" i="1"/>
  <c r="O518" i="1"/>
  <c r="O519" i="1"/>
  <c r="O520" i="1"/>
  <c r="O521" i="1"/>
  <c r="O522" i="1"/>
  <c r="O523" i="1"/>
  <c r="O524" i="1"/>
  <c r="O525" i="1"/>
  <c r="O526" i="1"/>
  <c r="O527" i="1"/>
  <c r="O528" i="1"/>
  <c r="O529" i="1"/>
  <c r="O530" i="1"/>
  <c r="O531" i="1"/>
  <c r="O532" i="1"/>
  <c r="O533" i="1"/>
  <c r="O534" i="1"/>
  <c r="O535" i="1"/>
  <c r="O536" i="1"/>
  <c r="O537" i="1"/>
  <c r="O538" i="1"/>
  <c r="O539" i="1"/>
  <c r="O540" i="1"/>
  <c r="O541" i="1"/>
  <c r="O542" i="1"/>
  <c r="O543" i="1"/>
  <c r="O544" i="1"/>
  <c r="O545" i="1"/>
  <c r="O546" i="1"/>
  <c r="O547" i="1"/>
  <c r="O548" i="1"/>
  <c r="O549" i="1"/>
  <c r="O550" i="1"/>
  <c r="O551" i="1"/>
  <c r="O552" i="1"/>
  <c r="O553" i="1"/>
  <c r="O554" i="1"/>
  <c r="O555" i="1"/>
  <c r="O556" i="1"/>
  <c r="O557" i="1"/>
  <c r="O558" i="1"/>
  <c r="O559" i="1"/>
  <c r="O560" i="1"/>
  <c r="O561" i="1"/>
  <c r="O562" i="1"/>
  <c r="O563" i="1"/>
  <c r="O564" i="1"/>
  <c r="O565" i="1"/>
  <c r="O566" i="1"/>
  <c r="O567" i="1"/>
  <c r="O568" i="1"/>
  <c r="O569" i="1"/>
  <c r="O570" i="1"/>
  <c r="O571" i="1"/>
  <c r="O572" i="1"/>
  <c r="O573" i="1"/>
  <c r="O574" i="1"/>
  <c r="O575" i="1"/>
  <c r="O576" i="1"/>
  <c r="O577" i="1"/>
  <c r="O578" i="1"/>
  <c r="O579" i="1"/>
  <c r="O580" i="1"/>
  <c r="O581" i="1"/>
  <c r="O582" i="1"/>
  <c r="O583" i="1"/>
  <c r="O584" i="1"/>
  <c r="O585" i="1"/>
  <c r="O586" i="1"/>
  <c r="O587" i="1"/>
  <c r="O588" i="1"/>
  <c r="O589" i="1"/>
  <c r="O590" i="1"/>
  <c r="O591" i="1"/>
  <c r="O592" i="1"/>
  <c r="O593" i="1"/>
  <c r="O594" i="1"/>
  <c r="O595" i="1"/>
  <c r="O596" i="1"/>
  <c r="O597" i="1"/>
  <c r="O598" i="1"/>
  <c r="O599" i="1"/>
  <c r="O600" i="1"/>
  <c r="O601" i="1"/>
  <c r="O602" i="1"/>
  <c r="O603" i="1"/>
  <c r="O604" i="1"/>
  <c r="O605" i="1"/>
  <c r="O606" i="1"/>
  <c r="O607" i="1"/>
  <c r="O608" i="1"/>
  <c r="O609" i="1"/>
  <c r="O610" i="1"/>
  <c r="O611" i="1"/>
  <c r="O612" i="1"/>
  <c r="O613" i="1"/>
  <c r="O614" i="1"/>
  <c r="O615" i="1"/>
  <c r="O616" i="1"/>
  <c r="O617" i="1"/>
  <c r="O618" i="1"/>
  <c r="O619" i="1"/>
  <c r="O620" i="1"/>
  <c r="O621" i="1"/>
  <c r="O622" i="1"/>
  <c r="O623" i="1"/>
  <c r="O624" i="1"/>
  <c r="O625" i="1"/>
  <c r="O626" i="1"/>
  <c r="O627" i="1"/>
  <c r="O628" i="1"/>
  <c r="O629" i="1"/>
  <c r="O630" i="1"/>
  <c r="O631" i="1"/>
  <c r="O632" i="1"/>
  <c r="O633" i="1"/>
  <c r="O634" i="1"/>
  <c r="O635" i="1"/>
  <c r="O636" i="1"/>
  <c r="O637" i="1"/>
  <c r="O638" i="1"/>
  <c r="O639" i="1"/>
  <c r="O640" i="1"/>
  <c r="O641" i="1"/>
  <c r="O2" i="1"/>
  <c r="D8" i="13"/>
  <c r="D5" i="13"/>
  <c r="D6" i="13"/>
  <c r="D7" i="13"/>
  <c r="D4" i="13"/>
  <c r="N146" i="1"/>
  <c r="N147" i="1"/>
  <c r="N148" i="1"/>
  <c r="N149" i="1"/>
  <c r="N150" i="1"/>
  <c r="N151" i="1"/>
  <c r="N152" i="1"/>
  <c r="N153" i="1"/>
  <c r="N154" i="1"/>
  <c r="N155" i="1"/>
  <c r="N156" i="1"/>
  <c r="N157" i="1"/>
  <c r="N158" i="1"/>
  <c r="N159" i="1"/>
  <c r="N160" i="1"/>
  <c r="N161" i="1"/>
  <c r="N162" i="1"/>
  <c r="N163" i="1"/>
  <c r="N164" i="1"/>
  <c r="N165" i="1"/>
  <c r="N166" i="1"/>
  <c r="N167" i="1"/>
  <c r="N168" i="1"/>
  <c r="N169" i="1"/>
  <c r="N170" i="1"/>
  <c r="N171" i="1"/>
  <c r="N172" i="1"/>
  <c r="N173" i="1"/>
  <c r="N174" i="1"/>
  <c r="N175" i="1"/>
  <c r="N176" i="1"/>
  <c r="N177" i="1"/>
  <c r="N178" i="1"/>
  <c r="N179" i="1"/>
  <c r="N180" i="1"/>
  <c r="N181" i="1"/>
  <c r="N182" i="1"/>
  <c r="N183" i="1"/>
  <c r="N184" i="1"/>
  <c r="N185" i="1"/>
  <c r="N186" i="1"/>
  <c r="N187" i="1"/>
  <c r="N188" i="1"/>
  <c r="N189" i="1"/>
  <c r="N190" i="1"/>
  <c r="N191" i="1"/>
  <c r="N192" i="1"/>
  <c r="N193" i="1"/>
  <c r="N194" i="1"/>
  <c r="N195" i="1"/>
  <c r="N196" i="1"/>
  <c r="N197" i="1"/>
  <c r="N198" i="1"/>
  <c r="N199" i="1"/>
  <c r="N200" i="1"/>
  <c r="N201" i="1"/>
  <c r="N202" i="1"/>
  <c r="N203" i="1"/>
  <c r="N204" i="1"/>
  <c r="N205" i="1"/>
  <c r="N206" i="1"/>
  <c r="N207" i="1"/>
  <c r="N208" i="1"/>
  <c r="N209" i="1"/>
  <c r="N210" i="1"/>
  <c r="N211" i="1"/>
  <c r="N212" i="1"/>
  <c r="N213" i="1"/>
  <c r="N214" i="1"/>
  <c r="N215" i="1"/>
  <c r="N216" i="1"/>
  <c r="N217" i="1"/>
  <c r="N218" i="1"/>
  <c r="N219" i="1"/>
  <c r="N220" i="1"/>
  <c r="N221" i="1"/>
  <c r="N222" i="1"/>
  <c r="N223" i="1"/>
  <c r="N224" i="1"/>
  <c r="N225" i="1"/>
  <c r="N226" i="1"/>
  <c r="N227" i="1"/>
  <c r="N228" i="1"/>
  <c r="N229" i="1"/>
  <c r="N230" i="1"/>
  <c r="N231" i="1"/>
  <c r="N232" i="1"/>
  <c r="N233" i="1"/>
  <c r="N234" i="1"/>
  <c r="N235" i="1"/>
  <c r="N236" i="1"/>
  <c r="N237" i="1"/>
  <c r="N238" i="1"/>
  <c r="N239" i="1"/>
  <c r="N240" i="1"/>
  <c r="N241" i="1"/>
  <c r="N242" i="1"/>
  <c r="N243" i="1"/>
  <c r="N244" i="1"/>
  <c r="N245" i="1"/>
  <c r="N246" i="1"/>
  <c r="N247" i="1"/>
  <c r="N248" i="1"/>
  <c r="N249" i="1"/>
  <c r="N250" i="1"/>
  <c r="N251" i="1"/>
  <c r="N252" i="1"/>
  <c r="N253" i="1"/>
  <c r="N254" i="1"/>
  <c r="N255" i="1"/>
  <c r="N256" i="1"/>
  <c r="N257" i="1"/>
  <c r="N258" i="1"/>
  <c r="N259" i="1"/>
  <c r="N260" i="1"/>
  <c r="N261" i="1"/>
  <c r="N262" i="1"/>
  <c r="N263" i="1"/>
  <c r="N264" i="1"/>
  <c r="N265" i="1"/>
  <c r="N266" i="1"/>
  <c r="N267" i="1"/>
  <c r="N268" i="1"/>
  <c r="N269" i="1"/>
  <c r="N270" i="1"/>
  <c r="N271" i="1"/>
  <c r="N272" i="1"/>
  <c r="N273" i="1"/>
  <c r="N274" i="1"/>
  <c r="N275" i="1"/>
  <c r="N276" i="1"/>
  <c r="N277" i="1"/>
  <c r="N278" i="1"/>
  <c r="N279" i="1"/>
  <c r="N280" i="1"/>
  <c r="N281" i="1"/>
  <c r="N282" i="1"/>
  <c r="N283" i="1"/>
  <c r="N284" i="1"/>
  <c r="N285" i="1"/>
  <c r="N286" i="1"/>
  <c r="N287" i="1"/>
  <c r="N288" i="1"/>
  <c r="N289" i="1"/>
  <c r="N290" i="1"/>
  <c r="N291" i="1"/>
  <c r="N292" i="1"/>
  <c r="N293" i="1"/>
  <c r="N294" i="1"/>
  <c r="N295" i="1"/>
  <c r="N296" i="1"/>
  <c r="N297" i="1"/>
  <c r="N298" i="1"/>
  <c r="N299" i="1"/>
  <c r="N300" i="1"/>
  <c r="N301" i="1"/>
  <c r="N302" i="1"/>
  <c r="N303" i="1"/>
  <c r="N304" i="1"/>
  <c r="N305" i="1"/>
  <c r="N306" i="1"/>
  <c r="N307" i="1"/>
  <c r="N308" i="1"/>
  <c r="N309" i="1"/>
  <c r="N310" i="1"/>
  <c r="N311" i="1"/>
  <c r="N312" i="1"/>
  <c r="N313" i="1"/>
  <c r="N314" i="1"/>
  <c r="N315" i="1"/>
  <c r="N316" i="1"/>
  <c r="N317" i="1"/>
  <c r="N318" i="1"/>
  <c r="N319" i="1"/>
  <c r="N320" i="1"/>
  <c r="N321" i="1"/>
  <c r="N322" i="1"/>
  <c r="N323" i="1"/>
  <c r="N324" i="1"/>
  <c r="N325" i="1"/>
  <c r="N326" i="1"/>
  <c r="N327" i="1"/>
  <c r="N328" i="1"/>
  <c r="N329" i="1"/>
  <c r="N330" i="1"/>
  <c r="N331" i="1"/>
  <c r="N332" i="1"/>
  <c r="N333" i="1"/>
  <c r="N334" i="1"/>
  <c r="N335" i="1"/>
  <c r="N336" i="1"/>
  <c r="N337" i="1"/>
  <c r="N338" i="1"/>
  <c r="N339" i="1"/>
  <c r="N340" i="1"/>
  <c r="N341" i="1"/>
  <c r="N342" i="1"/>
  <c r="N343" i="1"/>
  <c r="N344" i="1"/>
  <c r="N345" i="1"/>
  <c r="N346" i="1"/>
  <c r="N347" i="1"/>
  <c r="N348" i="1"/>
  <c r="N349" i="1"/>
  <c r="N350" i="1"/>
  <c r="N351" i="1"/>
  <c r="N352" i="1"/>
  <c r="N353" i="1"/>
  <c r="N354" i="1"/>
  <c r="N355" i="1"/>
  <c r="N356" i="1"/>
  <c r="N357" i="1"/>
  <c r="N358" i="1"/>
  <c r="N359" i="1"/>
  <c r="N360" i="1"/>
  <c r="N361" i="1"/>
  <c r="N362" i="1"/>
  <c r="N363" i="1"/>
  <c r="N364" i="1"/>
  <c r="N365" i="1"/>
  <c r="N366" i="1"/>
  <c r="N367" i="1"/>
  <c r="N368" i="1"/>
  <c r="N369" i="1"/>
  <c r="N370" i="1"/>
  <c r="N371" i="1"/>
  <c r="N372" i="1"/>
  <c r="N373" i="1"/>
  <c r="N374" i="1"/>
  <c r="N375" i="1"/>
  <c r="N376" i="1"/>
  <c r="N377" i="1"/>
  <c r="N378" i="1"/>
  <c r="N379" i="1"/>
  <c r="N380" i="1"/>
  <c r="N381" i="1"/>
  <c r="N382" i="1"/>
  <c r="N383" i="1"/>
  <c r="N384" i="1"/>
  <c r="N385" i="1"/>
  <c r="N386" i="1"/>
  <c r="N387" i="1"/>
  <c r="N388" i="1"/>
  <c r="N389" i="1"/>
  <c r="N390" i="1"/>
  <c r="N391" i="1"/>
  <c r="N392" i="1"/>
  <c r="N393" i="1"/>
  <c r="N394" i="1"/>
  <c r="N395" i="1"/>
  <c r="N396" i="1"/>
  <c r="N397" i="1"/>
  <c r="N398" i="1"/>
  <c r="N399" i="1"/>
  <c r="N400" i="1"/>
  <c r="N401" i="1"/>
  <c r="N402" i="1"/>
  <c r="N403" i="1"/>
  <c r="N404" i="1"/>
  <c r="N405" i="1"/>
  <c r="N406" i="1"/>
  <c r="N407" i="1"/>
  <c r="N408" i="1"/>
  <c r="N409" i="1"/>
  <c r="N410" i="1"/>
  <c r="N411" i="1"/>
  <c r="N412" i="1"/>
  <c r="N413" i="1"/>
  <c r="N414" i="1"/>
  <c r="N415" i="1"/>
  <c r="N416" i="1"/>
  <c r="N417" i="1"/>
  <c r="N418" i="1"/>
  <c r="N419" i="1"/>
  <c r="N420" i="1"/>
  <c r="N421" i="1"/>
  <c r="N422" i="1"/>
  <c r="N423" i="1"/>
  <c r="N424" i="1"/>
  <c r="N425" i="1"/>
  <c r="B7" i="7"/>
  <c r="L600" i="1"/>
  <c r="M600" i="1" s="1"/>
  <c r="M3" i="1"/>
  <c r="M4" i="1"/>
  <c r="M5" i="1"/>
  <c r="M6" i="1"/>
  <c r="M7" i="1"/>
  <c r="M8" i="1"/>
  <c r="M9" i="1"/>
  <c r="M10" i="1"/>
  <c r="M11" i="1"/>
  <c r="M12" i="1"/>
  <c r="M13" i="1"/>
  <c r="M14" i="1"/>
  <c r="M15" i="1"/>
  <c r="M16" i="1"/>
  <c r="M17" i="1"/>
  <c r="M18" i="1"/>
  <c r="M19" i="1"/>
  <c r="M20" i="1"/>
  <c r="M21" i="1"/>
  <c r="M22" i="1"/>
  <c r="M23" i="1"/>
  <c r="M24" i="1"/>
  <c r="M25" i="1"/>
  <c r="M26" i="1"/>
  <c r="M27" i="1"/>
  <c r="M28" i="1"/>
  <c r="M29" i="1"/>
  <c r="M30" i="1"/>
  <c r="M31" i="1"/>
  <c r="M32" i="1"/>
  <c r="M33" i="1"/>
  <c r="M34" i="1"/>
  <c r="M35" i="1"/>
  <c r="M36" i="1"/>
  <c r="M37" i="1"/>
  <c r="M38" i="1"/>
  <c r="M39" i="1"/>
  <c r="M40" i="1"/>
  <c r="M41" i="1"/>
  <c r="M42" i="1"/>
  <c r="M43" i="1"/>
  <c r="M44" i="1"/>
  <c r="M45" i="1"/>
  <c r="M46" i="1"/>
  <c r="M47" i="1"/>
  <c r="M48" i="1"/>
  <c r="M49" i="1"/>
  <c r="M50" i="1"/>
  <c r="M51" i="1"/>
  <c r="M52" i="1"/>
  <c r="M53" i="1"/>
  <c r="M54" i="1"/>
  <c r="M55" i="1"/>
  <c r="M56" i="1"/>
  <c r="M57" i="1"/>
  <c r="M58" i="1"/>
  <c r="M59" i="1"/>
  <c r="M60" i="1"/>
  <c r="M61" i="1"/>
  <c r="M62" i="1"/>
  <c r="M63" i="1"/>
  <c r="M64" i="1"/>
  <c r="M65" i="1"/>
  <c r="M66" i="1"/>
  <c r="M67" i="1"/>
  <c r="M68" i="1"/>
  <c r="M69" i="1"/>
  <c r="M70" i="1"/>
  <c r="M71" i="1"/>
  <c r="M72" i="1"/>
  <c r="M73" i="1"/>
  <c r="M74" i="1"/>
  <c r="M75" i="1"/>
  <c r="M76" i="1"/>
  <c r="M77" i="1"/>
  <c r="M78" i="1"/>
  <c r="M79" i="1"/>
  <c r="M80" i="1"/>
  <c r="M81" i="1"/>
  <c r="M82" i="1"/>
  <c r="M83" i="1"/>
  <c r="M84" i="1"/>
  <c r="M85" i="1"/>
  <c r="M86" i="1"/>
  <c r="M87" i="1"/>
  <c r="M88" i="1"/>
  <c r="M89" i="1"/>
  <c r="M90" i="1"/>
  <c r="M91" i="1"/>
  <c r="M92" i="1"/>
  <c r="M93" i="1"/>
  <c r="M94" i="1"/>
  <c r="M95" i="1"/>
  <c r="M96" i="1"/>
  <c r="M97" i="1"/>
  <c r="M98" i="1"/>
  <c r="M99" i="1"/>
  <c r="M100" i="1"/>
  <c r="M101" i="1"/>
  <c r="M102" i="1"/>
  <c r="M103" i="1"/>
  <c r="M104" i="1"/>
  <c r="M105" i="1"/>
  <c r="M106" i="1"/>
  <c r="M107" i="1"/>
  <c r="M108" i="1"/>
  <c r="M109" i="1"/>
  <c r="M110" i="1"/>
  <c r="M111" i="1"/>
  <c r="M112" i="1"/>
  <c r="M113" i="1"/>
  <c r="M114" i="1"/>
  <c r="M115" i="1"/>
  <c r="M116" i="1"/>
  <c r="M117" i="1"/>
  <c r="M118" i="1"/>
  <c r="M119" i="1"/>
  <c r="M120" i="1"/>
  <c r="M121" i="1"/>
  <c r="M122" i="1"/>
  <c r="M123" i="1"/>
  <c r="M124" i="1"/>
  <c r="M125" i="1"/>
  <c r="M126" i="1"/>
  <c r="M127" i="1"/>
  <c r="M128" i="1"/>
  <c r="M129" i="1"/>
  <c r="M130" i="1"/>
  <c r="M131" i="1"/>
  <c r="M132" i="1"/>
  <c r="M133" i="1"/>
  <c r="M134" i="1"/>
  <c r="M135" i="1"/>
  <c r="M136" i="1"/>
  <c r="M137" i="1"/>
  <c r="M138" i="1"/>
  <c r="M139" i="1"/>
  <c r="M140" i="1"/>
  <c r="M141" i="1"/>
  <c r="M142" i="1"/>
  <c r="M143" i="1"/>
  <c r="M144" i="1"/>
  <c r="M145" i="1"/>
  <c r="M146" i="1"/>
  <c r="M147" i="1"/>
  <c r="M148" i="1"/>
  <c r="M149" i="1"/>
  <c r="M150" i="1"/>
  <c r="M151" i="1"/>
  <c r="M152" i="1"/>
  <c r="M153" i="1"/>
  <c r="M154" i="1"/>
  <c r="M155" i="1"/>
  <c r="M156" i="1"/>
  <c r="M157" i="1"/>
  <c r="M158" i="1"/>
  <c r="M159" i="1"/>
  <c r="M160" i="1"/>
  <c r="M161" i="1"/>
  <c r="M162" i="1"/>
  <c r="M163" i="1"/>
  <c r="M164" i="1"/>
  <c r="M165" i="1"/>
  <c r="M166" i="1"/>
  <c r="M167" i="1"/>
  <c r="M168" i="1"/>
  <c r="M169" i="1"/>
  <c r="M170" i="1"/>
  <c r="M171" i="1"/>
  <c r="M172" i="1"/>
  <c r="M173" i="1"/>
  <c r="M174" i="1"/>
  <c r="M175" i="1"/>
  <c r="M176" i="1"/>
  <c r="M177" i="1"/>
  <c r="M178" i="1"/>
  <c r="M179" i="1"/>
  <c r="M180" i="1"/>
  <c r="M181" i="1"/>
  <c r="M182" i="1"/>
  <c r="M183" i="1"/>
  <c r="M184" i="1"/>
  <c r="M185" i="1"/>
  <c r="M186" i="1"/>
  <c r="M187" i="1"/>
  <c r="M188" i="1"/>
  <c r="M189" i="1"/>
  <c r="M190" i="1"/>
  <c r="M191" i="1"/>
  <c r="M192" i="1"/>
  <c r="M193" i="1"/>
  <c r="M194" i="1"/>
  <c r="M195" i="1"/>
  <c r="M196" i="1"/>
  <c r="M197" i="1"/>
  <c r="M198" i="1"/>
  <c r="M199" i="1"/>
  <c r="M200" i="1"/>
  <c r="M201" i="1"/>
  <c r="M202" i="1"/>
  <c r="M203" i="1"/>
  <c r="M204" i="1"/>
  <c r="M205" i="1"/>
  <c r="M206" i="1"/>
  <c r="M207" i="1"/>
  <c r="M208" i="1"/>
  <c r="M209" i="1"/>
  <c r="M210" i="1"/>
  <c r="M211" i="1"/>
  <c r="L3" i="1"/>
  <c r="L4" i="1"/>
  <c r="L5" i="1"/>
  <c r="L6" i="1"/>
  <c r="L7" i="1"/>
  <c r="L8" i="1"/>
  <c r="L9" i="1"/>
  <c r="L10" i="1"/>
  <c r="L11" i="1"/>
  <c r="L12" i="1"/>
  <c r="L13" i="1"/>
  <c r="L14" i="1"/>
  <c r="L15" i="1"/>
  <c r="L16" i="1"/>
  <c r="L17" i="1"/>
  <c r="L18" i="1"/>
  <c r="L19" i="1"/>
  <c r="L20" i="1"/>
  <c r="L21" i="1"/>
  <c r="L22" i="1"/>
  <c r="L23" i="1"/>
  <c r="L24" i="1"/>
  <c r="L25" i="1"/>
  <c r="L26" i="1"/>
  <c r="L27" i="1"/>
  <c r="L28" i="1"/>
  <c r="L29" i="1"/>
  <c r="L30" i="1"/>
  <c r="L31" i="1"/>
  <c r="L32" i="1"/>
  <c r="L33" i="1"/>
  <c r="L34" i="1"/>
  <c r="L35" i="1"/>
  <c r="L36" i="1"/>
  <c r="L37" i="1"/>
  <c r="L38" i="1"/>
  <c r="L39" i="1"/>
  <c r="L40" i="1"/>
  <c r="L41" i="1"/>
  <c r="L42" i="1"/>
  <c r="L43" i="1"/>
  <c r="L44" i="1"/>
  <c r="L45" i="1"/>
  <c r="L46" i="1"/>
  <c r="L47" i="1"/>
  <c r="L48" i="1"/>
  <c r="L49" i="1"/>
  <c r="L50" i="1"/>
  <c r="L51" i="1"/>
  <c r="L52" i="1"/>
  <c r="L53" i="1"/>
  <c r="L54" i="1"/>
  <c r="L55" i="1"/>
  <c r="L56" i="1"/>
  <c r="L57" i="1"/>
  <c r="L58" i="1"/>
  <c r="L59" i="1"/>
  <c r="L60" i="1"/>
  <c r="L61" i="1"/>
  <c r="L62" i="1"/>
  <c r="L63" i="1"/>
  <c r="L64" i="1"/>
  <c r="L65" i="1"/>
  <c r="L66" i="1"/>
  <c r="L67" i="1"/>
  <c r="L68" i="1"/>
  <c r="L69" i="1"/>
  <c r="L70" i="1"/>
  <c r="L71" i="1"/>
  <c r="L72" i="1"/>
  <c r="L73" i="1"/>
  <c r="L74" i="1"/>
  <c r="L75" i="1"/>
  <c r="L76" i="1"/>
  <c r="L77" i="1"/>
  <c r="L78" i="1"/>
  <c r="L79" i="1"/>
  <c r="L80" i="1"/>
  <c r="L81" i="1"/>
  <c r="L82" i="1"/>
  <c r="L83" i="1"/>
  <c r="L84" i="1"/>
  <c r="L85" i="1"/>
  <c r="L86" i="1"/>
  <c r="L87" i="1"/>
  <c r="L88" i="1"/>
  <c r="L89" i="1"/>
  <c r="L90" i="1"/>
  <c r="L91" i="1"/>
  <c r="L92" i="1"/>
  <c r="L93" i="1"/>
  <c r="L94" i="1"/>
  <c r="L95" i="1"/>
  <c r="L96" i="1"/>
  <c r="L97" i="1"/>
  <c r="L98" i="1"/>
  <c r="L99" i="1"/>
  <c r="L100" i="1"/>
  <c r="L101" i="1"/>
  <c r="L102" i="1"/>
  <c r="L103" i="1"/>
  <c r="L104" i="1"/>
  <c r="L105" i="1"/>
  <c r="L106" i="1"/>
  <c r="L107" i="1"/>
  <c r="L108" i="1"/>
  <c r="L109" i="1"/>
  <c r="L110" i="1"/>
  <c r="L111" i="1"/>
  <c r="L112" i="1"/>
  <c r="L113" i="1"/>
  <c r="L114" i="1"/>
  <c r="L115" i="1"/>
  <c r="L116" i="1"/>
  <c r="L117" i="1"/>
  <c r="L118" i="1"/>
  <c r="L119" i="1"/>
  <c r="L120" i="1"/>
  <c r="L121" i="1"/>
  <c r="L122" i="1"/>
  <c r="L123" i="1"/>
  <c r="L124" i="1"/>
  <c r="L125" i="1"/>
  <c r="L126" i="1"/>
  <c r="L127" i="1"/>
  <c r="L128" i="1"/>
  <c r="L129" i="1"/>
  <c r="L130" i="1"/>
  <c r="L131" i="1"/>
  <c r="L132" i="1"/>
  <c r="L133" i="1"/>
  <c r="L134" i="1"/>
  <c r="L135" i="1"/>
  <c r="L136" i="1"/>
  <c r="L137" i="1"/>
  <c r="L138" i="1"/>
  <c r="L139" i="1"/>
  <c r="L140" i="1"/>
  <c r="L141" i="1"/>
  <c r="L142" i="1"/>
  <c r="L143" i="1"/>
  <c r="L144" i="1"/>
  <c r="L145" i="1"/>
  <c r="L146" i="1"/>
  <c r="L147" i="1"/>
  <c r="L148" i="1"/>
  <c r="L149" i="1"/>
  <c r="L150" i="1"/>
  <c r="L151" i="1"/>
  <c r="L152" i="1"/>
  <c r="L153" i="1"/>
  <c r="L154" i="1"/>
  <c r="L155" i="1"/>
  <c r="L156" i="1"/>
  <c r="L157" i="1"/>
  <c r="L158" i="1"/>
  <c r="L159" i="1"/>
  <c r="L160" i="1"/>
  <c r="L161" i="1"/>
  <c r="L162" i="1"/>
  <c r="L163" i="1"/>
  <c r="L164" i="1"/>
  <c r="L165" i="1"/>
  <c r="L166" i="1"/>
  <c r="L167" i="1"/>
  <c r="L168" i="1"/>
  <c r="L169" i="1"/>
  <c r="L170" i="1"/>
  <c r="L171" i="1"/>
  <c r="L172" i="1"/>
  <c r="L173" i="1"/>
  <c r="L174" i="1"/>
  <c r="L175" i="1"/>
  <c r="L176" i="1"/>
  <c r="L177" i="1"/>
  <c r="L178" i="1"/>
  <c r="L179" i="1"/>
  <c r="L180" i="1"/>
  <c r="L181" i="1"/>
  <c r="L182" i="1"/>
  <c r="L183" i="1"/>
  <c r="L184" i="1"/>
  <c r="L185" i="1"/>
  <c r="L186" i="1"/>
  <c r="L187" i="1"/>
  <c r="L188" i="1"/>
  <c r="L189" i="1"/>
  <c r="L190" i="1"/>
  <c r="L191" i="1"/>
  <c r="L192" i="1"/>
  <c r="L193" i="1"/>
  <c r="L194" i="1"/>
  <c r="L195" i="1"/>
  <c r="L196" i="1"/>
  <c r="L197" i="1"/>
  <c r="L198" i="1"/>
  <c r="L199" i="1"/>
  <c r="L200" i="1"/>
  <c r="L201" i="1"/>
  <c r="L202" i="1"/>
  <c r="L203" i="1"/>
  <c r="L204" i="1"/>
  <c r="L205" i="1"/>
  <c r="L206" i="1"/>
  <c r="L207" i="1"/>
  <c r="L208" i="1"/>
  <c r="L209" i="1"/>
  <c r="L210" i="1"/>
  <c r="L211" i="1"/>
  <c r="L212" i="1"/>
  <c r="L213" i="1"/>
  <c r="L214" i="1"/>
  <c r="L215" i="1"/>
  <c r="L216" i="1"/>
  <c r="L217" i="1"/>
  <c r="L218" i="1"/>
  <c r="L219" i="1"/>
  <c r="L220" i="1"/>
  <c r="L221" i="1"/>
  <c r="L222" i="1"/>
  <c r="L223" i="1"/>
  <c r="L224" i="1"/>
  <c r="L225" i="1"/>
  <c r="L226" i="1"/>
  <c r="L227" i="1"/>
  <c r="L228" i="1"/>
  <c r="L229" i="1"/>
  <c r="L230" i="1"/>
  <c r="L231" i="1"/>
  <c r="L232" i="1"/>
  <c r="L233" i="1"/>
  <c r="L234" i="1"/>
  <c r="L235" i="1"/>
  <c r="L236" i="1"/>
  <c r="L237" i="1"/>
  <c r="L238" i="1"/>
  <c r="L239" i="1"/>
  <c r="L240" i="1"/>
  <c r="L241" i="1"/>
  <c r="L242" i="1"/>
  <c r="L243" i="1"/>
  <c r="L244" i="1"/>
  <c r="L245" i="1"/>
  <c r="L246" i="1"/>
  <c r="L247" i="1"/>
  <c r="L248" i="1"/>
  <c r="L249" i="1"/>
  <c r="L250" i="1"/>
  <c r="L251" i="1"/>
  <c r="L252" i="1"/>
  <c r="L253" i="1"/>
  <c r="L254" i="1"/>
  <c r="L255" i="1"/>
  <c r="L256" i="1"/>
  <c r="L257" i="1"/>
  <c r="L258" i="1"/>
  <c r="L259" i="1"/>
  <c r="L260" i="1"/>
  <c r="L261" i="1"/>
  <c r="L262" i="1"/>
  <c r="L263" i="1"/>
  <c r="L264" i="1"/>
  <c r="L265" i="1"/>
  <c r="L266" i="1"/>
  <c r="L267" i="1"/>
  <c r="L268" i="1"/>
  <c r="L269" i="1"/>
  <c r="L270" i="1"/>
  <c r="L271" i="1"/>
  <c r="L272" i="1"/>
  <c r="L273" i="1"/>
  <c r="L274" i="1"/>
  <c r="L275" i="1"/>
  <c r="L276" i="1"/>
  <c r="L277" i="1"/>
  <c r="M277" i="1" s="1"/>
  <c r="L278" i="1"/>
  <c r="M278" i="1" s="1"/>
  <c r="L279" i="1"/>
  <c r="M279" i="1" s="1"/>
  <c r="L280" i="1"/>
  <c r="M280" i="1" s="1"/>
  <c r="L281" i="1"/>
  <c r="M281" i="1" s="1"/>
  <c r="L282" i="1"/>
  <c r="M282" i="1" s="1"/>
  <c r="L283" i="1"/>
  <c r="M283" i="1" s="1"/>
  <c r="L284" i="1"/>
  <c r="M284" i="1" s="1"/>
  <c r="L285" i="1"/>
  <c r="M285" i="1" s="1"/>
  <c r="L286" i="1"/>
  <c r="M286" i="1" s="1"/>
  <c r="L287" i="1"/>
  <c r="M287" i="1" s="1"/>
  <c r="L288" i="1"/>
  <c r="M288" i="1" s="1"/>
  <c r="L289" i="1"/>
  <c r="M289" i="1" s="1"/>
  <c r="L290" i="1"/>
  <c r="M290" i="1" s="1"/>
  <c r="L291" i="1"/>
  <c r="M291" i="1" s="1"/>
  <c r="L292" i="1"/>
  <c r="M292" i="1" s="1"/>
  <c r="L293" i="1"/>
  <c r="M293" i="1" s="1"/>
  <c r="L294" i="1"/>
  <c r="M294" i="1" s="1"/>
  <c r="L295" i="1"/>
  <c r="M295" i="1" s="1"/>
  <c r="L296" i="1"/>
  <c r="M296" i="1" s="1"/>
  <c r="L297" i="1"/>
  <c r="M297" i="1" s="1"/>
  <c r="L298" i="1"/>
  <c r="M298" i="1" s="1"/>
  <c r="L299" i="1"/>
  <c r="M299" i="1" s="1"/>
  <c r="L300" i="1"/>
  <c r="M300" i="1" s="1"/>
  <c r="L301" i="1"/>
  <c r="M301" i="1" s="1"/>
  <c r="L302" i="1"/>
  <c r="M302" i="1" s="1"/>
  <c r="L303" i="1"/>
  <c r="M303" i="1" s="1"/>
  <c r="L304" i="1"/>
  <c r="M304" i="1" s="1"/>
  <c r="L305" i="1"/>
  <c r="M305" i="1" s="1"/>
  <c r="L306" i="1"/>
  <c r="M306" i="1" s="1"/>
  <c r="L307" i="1"/>
  <c r="M307" i="1" s="1"/>
  <c r="L308" i="1"/>
  <c r="M308" i="1" s="1"/>
  <c r="L309" i="1"/>
  <c r="M309" i="1" s="1"/>
  <c r="L310" i="1"/>
  <c r="M310" i="1" s="1"/>
  <c r="L311" i="1"/>
  <c r="M311" i="1" s="1"/>
  <c r="L312" i="1"/>
  <c r="M312" i="1" s="1"/>
  <c r="L313" i="1"/>
  <c r="M313" i="1" s="1"/>
  <c r="L314" i="1"/>
  <c r="M314" i="1" s="1"/>
  <c r="L315" i="1"/>
  <c r="M315" i="1" s="1"/>
  <c r="L316" i="1"/>
  <c r="M316" i="1" s="1"/>
  <c r="L317" i="1"/>
  <c r="M317" i="1" s="1"/>
  <c r="L318" i="1"/>
  <c r="M318" i="1" s="1"/>
  <c r="L319" i="1"/>
  <c r="M319" i="1" s="1"/>
  <c r="L320" i="1"/>
  <c r="M320" i="1" s="1"/>
  <c r="L321" i="1"/>
  <c r="M321" i="1" s="1"/>
  <c r="L322" i="1"/>
  <c r="M322" i="1" s="1"/>
  <c r="L323" i="1"/>
  <c r="M323" i="1" s="1"/>
  <c r="L324" i="1"/>
  <c r="M324" i="1" s="1"/>
  <c r="L325" i="1"/>
  <c r="M325" i="1" s="1"/>
  <c r="L326" i="1"/>
  <c r="M326" i="1" s="1"/>
  <c r="L327" i="1"/>
  <c r="M327" i="1" s="1"/>
  <c r="L328" i="1"/>
  <c r="M328" i="1" s="1"/>
  <c r="L329" i="1"/>
  <c r="M329" i="1" s="1"/>
  <c r="L330" i="1"/>
  <c r="M330" i="1" s="1"/>
  <c r="L331" i="1"/>
  <c r="M331" i="1" s="1"/>
  <c r="L332" i="1"/>
  <c r="M332" i="1" s="1"/>
  <c r="L333" i="1"/>
  <c r="M333" i="1" s="1"/>
  <c r="L334" i="1"/>
  <c r="M334" i="1" s="1"/>
  <c r="L335" i="1"/>
  <c r="M335" i="1" s="1"/>
  <c r="L336" i="1"/>
  <c r="M336" i="1" s="1"/>
  <c r="L337" i="1"/>
  <c r="M337" i="1" s="1"/>
  <c r="L338" i="1"/>
  <c r="M338" i="1" s="1"/>
  <c r="L339" i="1"/>
  <c r="M339" i="1" s="1"/>
  <c r="L340" i="1"/>
  <c r="M340" i="1" s="1"/>
  <c r="L341" i="1"/>
  <c r="M341" i="1" s="1"/>
  <c r="L342" i="1"/>
  <c r="M342" i="1" s="1"/>
  <c r="L343" i="1"/>
  <c r="M343" i="1" s="1"/>
  <c r="L344" i="1"/>
  <c r="M344" i="1" s="1"/>
  <c r="L345" i="1"/>
  <c r="M345" i="1" s="1"/>
  <c r="L346" i="1"/>
  <c r="M346" i="1" s="1"/>
  <c r="L347" i="1"/>
  <c r="M347" i="1" s="1"/>
  <c r="L348" i="1"/>
  <c r="M348" i="1" s="1"/>
  <c r="L349" i="1"/>
  <c r="M349" i="1" s="1"/>
  <c r="L350" i="1"/>
  <c r="M350" i="1" s="1"/>
  <c r="L351" i="1"/>
  <c r="M351" i="1" s="1"/>
  <c r="L352" i="1"/>
  <c r="M352" i="1" s="1"/>
  <c r="L353" i="1"/>
  <c r="M353" i="1" s="1"/>
  <c r="L354" i="1"/>
  <c r="M354" i="1" s="1"/>
  <c r="L355" i="1"/>
  <c r="M355" i="1" s="1"/>
  <c r="L356" i="1"/>
  <c r="M356" i="1" s="1"/>
  <c r="L357" i="1"/>
  <c r="M357" i="1" s="1"/>
  <c r="L358" i="1"/>
  <c r="M358" i="1" s="1"/>
  <c r="L359" i="1"/>
  <c r="M359" i="1" s="1"/>
  <c r="L360" i="1"/>
  <c r="M360" i="1" s="1"/>
  <c r="L361" i="1"/>
  <c r="M361" i="1" s="1"/>
  <c r="L362" i="1"/>
  <c r="M362" i="1" s="1"/>
  <c r="L363" i="1"/>
  <c r="M363" i="1" s="1"/>
  <c r="L364" i="1"/>
  <c r="M364" i="1" s="1"/>
  <c r="L365" i="1"/>
  <c r="M365" i="1" s="1"/>
  <c r="L366" i="1"/>
  <c r="M366" i="1" s="1"/>
  <c r="L367" i="1"/>
  <c r="M367" i="1" s="1"/>
  <c r="L368" i="1"/>
  <c r="M368" i="1" s="1"/>
  <c r="L369" i="1"/>
  <c r="M369" i="1" s="1"/>
  <c r="L370" i="1"/>
  <c r="M370" i="1" s="1"/>
  <c r="L371" i="1"/>
  <c r="M371" i="1" s="1"/>
  <c r="L372" i="1"/>
  <c r="M372" i="1" s="1"/>
  <c r="L373" i="1"/>
  <c r="M373" i="1" s="1"/>
  <c r="L374" i="1"/>
  <c r="M374" i="1" s="1"/>
  <c r="L375" i="1"/>
  <c r="M375" i="1" s="1"/>
  <c r="L376" i="1"/>
  <c r="M376" i="1" s="1"/>
  <c r="L377" i="1"/>
  <c r="M377" i="1" s="1"/>
  <c r="L378" i="1"/>
  <c r="M378" i="1" s="1"/>
  <c r="L379" i="1"/>
  <c r="M379" i="1" s="1"/>
  <c r="L380" i="1"/>
  <c r="M380" i="1" s="1"/>
  <c r="L381" i="1"/>
  <c r="M381" i="1" s="1"/>
  <c r="L382" i="1"/>
  <c r="M382" i="1" s="1"/>
  <c r="L383" i="1"/>
  <c r="M383" i="1" s="1"/>
  <c r="L384" i="1"/>
  <c r="M384" i="1" s="1"/>
  <c r="L385" i="1"/>
  <c r="M385" i="1" s="1"/>
  <c r="L386" i="1"/>
  <c r="M386" i="1" s="1"/>
  <c r="L387" i="1"/>
  <c r="M387" i="1" s="1"/>
  <c r="L388" i="1"/>
  <c r="M388" i="1" s="1"/>
  <c r="L389" i="1"/>
  <c r="M389" i="1" s="1"/>
  <c r="L390" i="1"/>
  <c r="M390" i="1" s="1"/>
  <c r="L391" i="1"/>
  <c r="M391" i="1" s="1"/>
  <c r="L392" i="1"/>
  <c r="M392" i="1" s="1"/>
  <c r="L393" i="1"/>
  <c r="M393" i="1" s="1"/>
  <c r="L394" i="1"/>
  <c r="M394" i="1" s="1"/>
  <c r="L395" i="1"/>
  <c r="M395" i="1" s="1"/>
  <c r="L396" i="1"/>
  <c r="M396" i="1" s="1"/>
  <c r="L397" i="1"/>
  <c r="M397" i="1" s="1"/>
  <c r="L398" i="1"/>
  <c r="M398" i="1" s="1"/>
  <c r="L399" i="1"/>
  <c r="M399" i="1" s="1"/>
  <c r="L400" i="1"/>
  <c r="M400" i="1" s="1"/>
  <c r="L401" i="1"/>
  <c r="M401" i="1" s="1"/>
  <c r="L402" i="1"/>
  <c r="M402" i="1" s="1"/>
  <c r="L403" i="1"/>
  <c r="M403" i="1" s="1"/>
  <c r="L404" i="1"/>
  <c r="M404" i="1" s="1"/>
  <c r="L405" i="1"/>
  <c r="M405" i="1" s="1"/>
  <c r="L406" i="1"/>
  <c r="M406" i="1" s="1"/>
  <c r="L407" i="1"/>
  <c r="M407" i="1" s="1"/>
  <c r="L408" i="1"/>
  <c r="M408" i="1" s="1"/>
  <c r="L409" i="1"/>
  <c r="M409" i="1" s="1"/>
  <c r="L410" i="1"/>
  <c r="M410" i="1" s="1"/>
  <c r="L411" i="1"/>
  <c r="M411" i="1" s="1"/>
  <c r="L412" i="1"/>
  <c r="M412" i="1" s="1"/>
  <c r="L413" i="1"/>
  <c r="M413" i="1" s="1"/>
  <c r="L414" i="1"/>
  <c r="M414" i="1" s="1"/>
  <c r="L415" i="1"/>
  <c r="M415" i="1" s="1"/>
  <c r="L416" i="1"/>
  <c r="M416" i="1" s="1"/>
  <c r="L417" i="1"/>
  <c r="M417" i="1" s="1"/>
  <c r="L418" i="1"/>
  <c r="M418" i="1" s="1"/>
  <c r="L419" i="1"/>
  <c r="M419" i="1" s="1"/>
  <c r="L420" i="1"/>
  <c r="M420" i="1" s="1"/>
  <c r="L421" i="1"/>
  <c r="M421" i="1" s="1"/>
  <c r="L422" i="1"/>
  <c r="M422" i="1" s="1"/>
  <c r="L423" i="1"/>
  <c r="M423" i="1" s="1"/>
  <c r="L424" i="1"/>
  <c r="M424" i="1" s="1"/>
  <c r="L425" i="1"/>
  <c r="M425" i="1" s="1"/>
  <c r="L426" i="1"/>
  <c r="M426" i="1" s="1"/>
  <c r="L427" i="1"/>
  <c r="M427" i="1" s="1"/>
  <c r="L428" i="1"/>
  <c r="M428" i="1" s="1"/>
  <c r="L429" i="1"/>
  <c r="M429" i="1" s="1"/>
  <c r="L430" i="1"/>
  <c r="M430" i="1" s="1"/>
  <c r="L431" i="1"/>
  <c r="M431" i="1" s="1"/>
  <c r="L432" i="1"/>
  <c r="M432" i="1" s="1"/>
  <c r="L433" i="1"/>
  <c r="M433" i="1" s="1"/>
  <c r="L434" i="1"/>
  <c r="M434" i="1" s="1"/>
  <c r="L435" i="1"/>
  <c r="M435" i="1" s="1"/>
  <c r="L436" i="1"/>
  <c r="M436" i="1" s="1"/>
  <c r="L437" i="1"/>
  <c r="M437" i="1" s="1"/>
  <c r="L438" i="1"/>
  <c r="M438" i="1" s="1"/>
  <c r="L439" i="1"/>
  <c r="M439" i="1" s="1"/>
  <c r="L440" i="1"/>
  <c r="M440" i="1" s="1"/>
  <c r="L441" i="1"/>
  <c r="M441" i="1" s="1"/>
  <c r="L442" i="1"/>
  <c r="M442" i="1" s="1"/>
  <c r="L443" i="1"/>
  <c r="M443" i="1" s="1"/>
  <c r="L444" i="1"/>
  <c r="M444" i="1" s="1"/>
  <c r="L445" i="1"/>
  <c r="M445" i="1" s="1"/>
  <c r="L446" i="1"/>
  <c r="M446" i="1" s="1"/>
  <c r="L447" i="1"/>
  <c r="M447" i="1" s="1"/>
  <c r="L448" i="1"/>
  <c r="M448" i="1" s="1"/>
  <c r="L449" i="1"/>
  <c r="M449" i="1" s="1"/>
  <c r="L450" i="1"/>
  <c r="M450" i="1" s="1"/>
  <c r="L451" i="1"/>
  <c r="M451" i="1" s="1"/>
  <c r="L452" i="1"/>
  <c r="M452" i="1" s="1"/>
  <c r="L453" i="1"/>
  <c r="M453" i="1" s="1"/>
  <c r="L454" i="1"/>
  <c r="M454" i="1" s="1"/>
  <c r="L455" i="1"/>
  <c r="M455" i="1" s="1"/>
  <c r="L456" i="1"/>
  <c r="M456" i="1" s="1"/>
  <c r="L457" i="1"/>
  <c r="M457" i="1" s="1"/>
  <c r="L458" i="1"/>
  <c r="M458" i="1" s="1"/>
  <c r="L459" i="1"/>
  <c r="M459" i="1" s="1"/>
  <c r="L460" i="1"/>
  <c r="M460" i="1" s="1"/>
  <c r="L461" i="1"/>
  <c r="M461" i="1" s="1"/>
  <c r="L462" i="1"/>
  <c r="M462" i="1" s="1"/>
  <c r="L463" i="1"/>
  <c r="M463" i="1" s="1"/>
  <c r="L464" i="1"/>
  <c r="M464" i="1" s="1"/>
  <c r="L465" i="1"/>
  <c r="M465" i="1" s="1"/>
  <c r="L466" i="1"/>
  <c r="M466" i="1" s="1"/>
  <c r="L467" i="1"/>
  <c r="M467" i="1" s="1"/>
  <c r="L468" i="1"/>
  <c r="M468" i="1" s="1"/>
  <c r="L469" i="1"/>
  <c r="M469" i="1" s="1"/>
  <c r="L470" i="1"/>
  <c r="M470" i="1" s="1"/>
  <c r="L471" i="1"/>
  <c r="M471" i="1" s="1"/>
  <c r="L472" i="1"/>
  <c r="M472" i="1" s="1"/>
  <c r="L473" i="1"/>
  <c r="M473" i="1" s="1"/>
  <c r="L474" i="1"/>
  <c r="M474" i="1" s="1"/>
  <c r="L475" i="1"/>
  <c r="M475" i="1" s="1"/>
  <c r="L476" i="1"/>
  <c r="M476" i="1" s="1"/>
  <c r="L477" i="1"/>
  <c r="M477" i="1" s="1"/>
  <c r="L478" i="1"/>
  <c r="M478" i="1" s="1"/>
  <c r="L479" i="1"/>
  <c r="M479" i="1" s="1"/>
  <c r="L480" i="1"/>
  <c r="M480" i="1" s="1"/>
  <c r="L481" i="1"/>
  <c r="M481" i="1" s="1"/>
  <c r="L482" i="1"/>
  <c r="M482" i="1" s="1"/>
  <c r="L483" i="1"/>
  <c r="M483" i="1" s="1"/>
  <c r="L484" i="1"/>
  <c r="M484" i="1" s="1"/>
  <c r="L485" i="1"/>
  <c r="M485" i="1" s="1"/>
  <c r="L486" i="1"/>
  <c r="M486" i="1" s="1"/>
  <c r="L487" i="1"/>
  <c r="M487" i="1" s="1"/>
  <c r="L488" i="1"/>
  <c r="M488" i="1" s="1"/>
  <c r="L489" i="1"/>
  <c r="M489" i="1" s="1"/>
  <c r="L490" i="1"/>
  <c r="M490" i="1" s="1"/>
  <c r="L491" i="1"/>
  <c r="M491" i="1" s="1"/>
  <c r="L492" i="1"/>
  <c r="M492" i="1" s="1"/>
  <c r="L493" i="1"/>
  <c r="M493" i="1" s="1"/>
  <c r="L494" i="1"/>
  <c r="M494" i="1" s="1"/>
  <c r="L495" i="1"/>
  <c r="M495" i="1" s="1"/>
  <c r="L496" i="1"/>
  <c r="M496" i="1" s="1"/>
  <c r="L497" i="1"/>
  <c r="M497" i="1" s="1"/>
  <c r="L498" i="1"/>
  <c r="M498" i="1" s="1"/>
  <c r="L499" i="1"/>
  <c r="M499" i="1" s="1"/>
  <c r="L500" i="1"/>
  <c r="M500" i="1" s="1"/>
  <c r="L501" i="1"/>
  <c r="M501" i="1" s="1"/>
  <c r="L502" i="1"/>
  <c r="M502" i="1" s="1"/>
  <c r="L503" i="1"/>
  <c r="M503" i="1" s="1"/>
  <c r="L504" i="1"/>
  <c r="M504" i="1" s="1"/>
  <c r="L505" i="1"/>
  <c r="M505" i="1" s="1"/>
  <c r="L506" i="1"/>
  <c r="M506" i="1" s="1"/>
  <c r="L507" i="1"/>
  <c r="M507" i="1" s="1"/>
  <c r="L508" i="1"/>
  <c r="M508" i="1" s="1"/>
  <c r="L509" i="1"/>
  <c r="M509" i="1" s="1"/>
  <c r="L510" i="1"/>
  <c r="M510" i="1" s="1"/>
  <c r="L511" i="1"/>
  <c r="M511" i="1" s="1"/>
  <c r="L512" i="1"/>
  <c r="M512" i="1" s="1"/>
  <c r="L513" i="1"/>
  <c r="M513" i="1" s="1"/>
  <c r="L514" i="1"/>
  <c r="M514" i="1" s="1"/>
  <c r="L515" i="1"/>
  <c r="M515" i="1" s="1"/>
  <c r="L516" i="1"/>
  <c r="M516" i="1" s="1"/>
  <c r="L517" i="1"/>
  <c r="M517" i="1" s="1"/>
  <c r="L518" i="1"/>
  <c r="M518" i="1" s="1"/>
  <c r="L519" i="1"/>
  <c r="M519" i="1" s="1"/>
  <c r="L520" i="1"/>
  <c r="M520" i="1" s="1"/>
  <c r="L521" i="1"/>
  <c r="M521" i="1" s="1"/>
  <c r="L522" i="1"/>
  <c r="M522" i="1" s="1"/>
  <c r="L523" i="1"/>
  <c r="M523" i="1" s="1"/>
  <c r="L524" i="1"/>
  <c r="M524" i="1" s="1"/>
  <c r="L525" i="1"/>
  <c r="M525" i="1" s="1"/>
  <c r="L526" i="1"/>
  <c r="M526" i="1" s="1"/>
  <c r="L527" i="1"/>
  <c r="M527" i="1" s="1"/>
  <c r="L528" i="1"/>
  <c r="M528" i="1" s="1"/>
  <c r="L529" i="1"/>
  <c r="M529" i="1" s="1"/>
  <c r="L530" i="1"/>
  <c r="M530" i="1" s="1"/>
  <c r="L531" i="1"/>
  <c r="M531" i="1" s="1"/>
  <c r="L532" i="1"/>
  <c r="M532" i="1" s="1"/>
  <c r="L533" i="1"/>
  <c r="M533" i="1" s="1"/>
  <c r="L534" i="1"/>
  <c r="M534" i="1" s="1"/>
  <c r="L535" i="1"/>
  <c r="M535" i="1" s="1"/>
  <c r="L536" i="1"/>
  <c r="M536" i="1" s="1"/>
  <c r="L537" i="1"/>
  <c r="M537" i="1" s="1"/>
  <c r="L538" i="1"/>
  <c r="M538" i="1" s="1"/>
  <c r="L539" i="1"/>
  <c r="M539" i="1" s="1"/>
  <c r="L540" i="1"/>
  <c r="M540" i="1" s="1"/>
  <c r="L541" i="1"/>
  <c r="M541" i="1" s="1"/>
  <c r="L542" i="1"/>
  <c r="M542" i="1" s="1"/>
  <c r="L543" i="1"/>
  <c r="M543" i="1" s="1"/>
  <c r="L544" i="1"/>
  <c r="M544" i="1" s="1"/>
  <c r="L545" i="1"/>
  <c r="M545" i="1" s="1"/>
  <c r="L546" i="1"/>
  <c r="M546" i="1" s="1"/>
  <c r="L547" i="1"/>
  <c r="M547" i="1" s="1"/>
  <c r="L548" i="1"/>
  <c r="M548" i="1" s="1"/>
  <c r="L549" i="1"/>
  <c r="M549" i="1" s="1"/>
  <c r="L550" i="1"/>
  <c r="M550" i="1" s="1"/>
  <c r="L551" i="1"/>
  <c r="M551" i="1" s="1"/>
  <c r="L552" i="1"/>
  <c r="M552" i="1" s="1"/>
  <c r="L553" i="1"/>
  <c r="M553" i="1" s="1"/>
  <c r="L554" i="1"/>
  <c r="M554" i="1" s="1"/>
  <c r="L555" i="1"/>
  <c r="M555" i="1" s="1"/>
  <c r="L556" i="1"/>
  <c r="M556" i="1" s="1"/>
  <c r="L557" i="1"/>
  <c r="M557" i="1" s="1"/>
  <c r="L558" i="1"/>
  <c r="M558" i="1" s="1"/>
  <c r="L559" i="1"/>
  <c r="M559" i="1" s="1"/>
  <c r="L560" i="1"/>
  <c r="M560" i="1" s="1"/>
  <c r="L561" i="1"/>
  <c r="M561" i="1" s="1"/>
  <c r="L562" i="1"/>
  <c r="M562" i="1" s="1"/>
  <c r="L563" i="1"/>
  <c r="M563" i="1" s="1"/>
  <c r="L564" i="1"/>
  <c r="M564" i="1" s="1"/>
  <c r="L565" i="1"/>
  <c r="M565" i="1" s="1"/>
  <c r="L566" i="1"/>
  <c r="M566" i="1" s="1"/>
  <c r="L567" i="1"/>
  <c r="M567" i="1" s="1"/>
  <c r="L568" i="1"/>
  <c r="M568" i="1" s="1"/>
  <c r="L569" i="1"/>
  <c r="M569" i="1" s="1"/>
  <c r="L570" i="1"/>
  <c r="M570" i="1" s="1"/>
  <c r="L571" i="1"/>
  <c r="M571" i="1" s="1"/>
  <c r="L572" i="1"/>
  <c r="M572" i="1" s="1"/>
  <c r="L573" i="1"/>
  <c r="M573" i="1" s="1"/>
  <c r="L574" i="1"/>
  <c r="M574" i="1" s="1"/>
  <c r="L575" i="1"/>
  <c r="M575" i="1" s="1"/>
  <c r="L576" i="1"/>
  <c r="M576" i="1" s="1"/>
  <c r="L577" i="1"/>
  <c r="M577" i="1" s="1"/>
  <c r="L578" i="1"/>
  <c r="M578" i="1" s="1"/>
  <c r="L579" i="1"/>
  <c r="M579" i="1" s="1"/>
  <c r="L580" i="1"/>
  <c r="M580" i="1" s="1"/>
  <c r="L581" i="1"/>
  <c r="M581" i="1" s="1"/>
  <c r="L582" i="1"/>
  <c r="M582" i="1" s="1"/>
  <c r="L583" i="1"/>
  <c r="M583" i="1" s="1"/>
  <c r="L584" i="1"/>
  <c r="M584" i="1" s="1"/>
  <c r="L585" i="1"/>
  <c r="M585" i="1" s="1"/>
  <c r="L586" i="1"/>
  <c r="M586" i="1" s="1"/>
  <c r="L587" i="1"/>
  <c r="M587" i="1" s="1"/>
  <c r="L588" i="1"/>
  <c r="M588" i="1" s="1"/>
  <c r="L589" i="1"/>
  <c r="M589" i="1" s="1"/>
  <c r="L590" i="1"/>
  <c r="M590" i="1" s="1"/>
  <c r="L591" i="1"/>
  <c r="M591" i="1" s="1"/>
  <c r="L592" i="1"/>
  <c r="M592" i="1" s="1"/>
  <c r="L593" i="1"/>
  <c r="M593" i="1" s="1"/>
  <c r="L594" i="1"/>
  <c r="M594" i="1" s="1"/>
  <c r="L595" i="1"/>
  <c r="M595" i="1" s="1"/>
  <c r="L596" i="1"/>
  <c r="M596" i="1" s="1"/>
  <c r="L597" i="1"/>
  <c r="M597" i="1" s="1"/>
  <c r="L598" i="1"/>
  <c r="M598" i="1" s="1"/>
  <c r="L599" i="1"/>
  <c r="M599" i="1" s="1"/>
  <c r="L601" i="1"/>
  <c r="M601" i="1" s="1"/>
  <c r="L602" i="1"/>
  <c r="M602" i="1" s="1"/>
  <c r="L603" i="1"/>
  <c r="M603" i="1" s="1"/>
  <c r="L604" i="1"/>
  <c r="M604" i="1" s="1"/>
  <c r="L605" i="1"/>
  <c r="M605" i="1" s="1"/>
  <c r="L606" i="1"/>
  <c r="M606" i="1" s="1"/>
  <c r="L607" i="1"/>
  <c r="M607" i="1" s="1"/>
  <c r="L608" i="1"/>
  <c r="M608" i="1" s="1"/>
  <c r="L609" i="1"/>
  <c r="M609" i="1" s="1"/>
  <c r="L610" i="1"/>
  <c r="M610" i="1" s="1"/>
  <c r="L611" i="1"/>
  <c r="M611" i="1" s="1"/>
  <c r="L612" i="1"/>
  <c r="M612" i="1" s="1"/>
  <c r="L613" i="1"/>
  <c r="M613" i="1" s="1"/>
  <c r="L614" i="1"/>
  <c r="M614" i="1" s="1"/>
  <c r="L615" i="1"/>
  <c r="M615" i="1" s="1"/>
  <c r="L616" i="1"/>
  <c r="M616" i="1" s="1"/>
  <c r="L617" i="1"/>
  <c r="M617" i="1" s="1"/>
  <c r="L618" i="1"/>
  <c r="M618" i="1" s="1"/>
  <c r="L619" i="1"/>
  <c r="M619" i="1" s="1"/>
  <c r="L620" i="1"/>
  <c r="M620" i="1" s="1"/>
  <c r="L621" i="1"/>
  <c r="M621" i="1" s="1"/>
  <c r="L622" i="1"/>
  <c r="M622" i="1" s="1"/>
  <c r="L623" i="1"/>
  <c r="M623" i="1" s="1"/>
  <c r="L624" i="1"/>
  <c r="M624" i="1" s="1"/>
  <c r="L625" i="1"/>
  <c r="M625" i="1" s="1"/>
  <c r="L626" i="1"/>
  <c r="M626" i="1" s="1"/>
  <c r="L627" i="1"/>
  <c r="M627" i="1" s="1"/>
  <c r="L628" i="1"/>
  <c r="M628" i="1" s="1"/>
  <c r="L629" i="1"/>
  <c r="M629" i="1" s="1"/>
  <c r="L630" i="1"/>
  <c r="M630" i="1" s="1"/>
  <c r="L631" i="1"/>
  <c r="M631" i="1" s="1"/>
  <c r="L632" i="1"/>
  <c r="M632" i="1" s="1"/>
  <c r="L633" i="1"/>
  <c r="M633" i="1" s="1"/>
  <c r="L634" i="1"/>
  <c r="M634" i="1" s="1"/>
  <c r="L635" i="1"/>
  <c r="M635" i="1" s="1"/>
  <c r="L636" i="1"/>
  <c r="M636" i="1" s="1"/>
  <c r="L637" i="1"/>
  <c r="M637" i="1" s="1"/>
  <c r="L638" i="1"/>
  <c r="M638" i="1" s="1"/>
  <c r="L639" i="1"/>
  <c r="M639" i="1" s="1"/>
  <c r="L640" i="1"/>
  <c r="M640" i="1" s="1"/>
  <c r="L641" i="1"/>
  <c r="M641" i="1" s="1"/>
  <c r="L2" i="1"/>
  <c r="M2" i="1" s="1"/>
  <c r="B11" i="7" a="1"/>
  <c r="B10" i="7"/>
  <c r="B9" i="7"/>
  <c r="K2" i="1"/>
  <c r="K4" i="1"/>
  <c r="K5" i="1"/>
  <c r="K6" i="1"/>
  <c r="K7" i="1"/>
  <c r="K8" i="1"/>
  <c r="K9" i="1"/>
  <c r="K10" i="1"/>
  <c r="K11" i="1"/>
  <c r="K12" i="1"/>
  <c r="K13" i="1"/>
  <c r="K14" i="1"/>
  <c r="K15" i="1"/>
  <c r="K16" i="1"/>
  <c r="K17" i="1"/>
  <c r="K18" i="1"/>
  <c r="K19" i="1"/>
  <c r="K20" i="1"/>
  <c r="K21" i="1"/>
  <c r="K22" i="1"/>
  <c r="K23" i="1"/>
  <c r="K24" i="1"/>
  <c r="K25" i="1"/>
  <c r="K26" i="1"/>
  <c r="K27" i="1"/>
  <c r="K28" i="1"/>
  <c r="K29" i="1"/>
  <c r="K30" i="1"/>
  <c r="K31" i="1"/>
  <c r="K32" i="1"/>
  <c r="K33" i="1"/>
  <c r="K34" i="1"/>
  <c r="K35" i="1"/>
  <c r="K36" i="1"/>
  <c r="K37" i="1"/>
  <c r="K38" i="1"/>
  <c r="K39" i="1"/>
  <c r="K40" i="1"/>
  <c r="K41" i="1"/>
  <c r="K42" i="1"/>
  <c r="K43" i="1"/>
  <c r="K44" i="1"/>
  <c r="K45" i="1"/>
  <c r="K46" i="1"/>
  <c r="K47" i="1"/>
  <c r="K48" i="1"/>
  <c r="K49" i="1"/>
  <c r="K50" i="1"/>
  <c r="K51" i="1"/>
  <c r="K52" i="1"/>
  <c r="K53" i="1"/>
  <c r="K54" i="1"/>
  <c r="K55" i="1"/>
  <c r="K56" i="1"/>
  <c r="K57" i="1"/>
  <c r="K58" i="1"/>
  <c r="K59" i="1"/>
  <c r="K60" i="1"/>
  <c r="K61" i="1"/>
  <c r="K62" i="1"/>
  <c r="K63" i="1"/>
  <c r="K64" i="1"/>
  <c r="K65" i="1"/>
  <c r="K66" i="1"/>
  <c r="K67" i="1"/>
  <c r="K68" i="1"/>
  <c r="K69" i="1"/>
  <c r="K70" i="1"/>
  <c r="K71" i="1"/>
  <c r="K72" i="1"/>
  <c r="K73" i="1"/>
  <c r="K74" i="1"/>
  <c r="K75" i="1"/>
  <c r="K76" i="1"/>
  <c r="K77" i="1"/>
  <c r="K78" i="1"/>
  <c r="K79" i="1"/>
  <c r="K80" i="1"/>
  <c r="K81" i="1"/>
  <c r="K82" i="1"/>
  <c r="K83" i="1"/>
  <c r="K84" i="1"/>
  <c r="K85" i="1"/>
  <c r="K86" i="1"/>
  <c r="K87" i="1"/>
  <c r="K88" i="1"/>
  <c r="K89" i="1"/>
  <c r="K90" i="1"/>
  <c r="K91" i="1"/>
  <c r="K92" i="1"/>
  <c r="K93" i="1"/>
  <c r="K94" i="1"/>
  <c r="K95" i="1"/>
  <c r="K96" i="1"/>
  <c r="K97" i="1"/>
  <c r="K98" i="1"/>
  <c r="K99" i="1"/>
  <c r="K100" i="1"/>
  <c r="K101" i="1"/>
  <c r="K102" i="1"/>
  <c r="K103" i="1"/>
  <c r="K104" i="1"/>
  <c r="K105" i="1"/>
  <c r="K106" i="1"/>
  <c r="K107" i="1"/>
  <c r="K108" i="1"/>
  <c r="K109" i="1"/>
  <c r="K110" i="1"/>
  <c r="K111" i="1"/>
  <c r="K112" i="1"/>
  <c r="K113" i="1"/>
  <c r="K114" i="1"/>
  <c r="K115" i="1"/>
  <c r="K116" i="1"/>
  <c r="K117" i="1"/>
  <c r="K118" i="1"/>
  <c r="K119" i="1"/>
  <c r="K120" i="1"/>
  <c r="K121" i="1"/>
  <c r="K122" i="1"/>
  <c r="K123" i="1"/>
  <c r="K124" i="1"/>
  <c r="K125" i="1"/>
  <c r="K126" i="1"/>
  <c r="K127" i="1"/>
  <c r="K128" i="1"/>
  <c r="K129" i="1"/>
  <c r="K130" i="1"/>
  <c r="K131" i="1"/>
  <c r="K132" i="1"/>
  <c r="K133" i="1"/>
  <c r="K134" i="1"/>
  <c r="K135" i="1"/>
  <c r="K136" i="1"/>
  <c r="K137" i="1"/>
  <c r="K138" i="1"/>
  <c r="K139" i="1"/>
  <c r="K140" i="1"/>
  <c r="K141" i="1"/>
  <c r="K142" i="1"/>
  <c r="K143" i="1"/>
  <c r="K144" i="1"/>
  <c r="K145" i="1"/>
  <c r="K146" i="1"/>
  <c r="K147" i="1"/>
  <c r="K148" i="1"/>
  <c r="K149" i="1"/>
  <c r="K150" i="1"/>
  <c r="K151" i="1"/>
  <c r="K152" i="1"/>
  <c r="K153" i="1"/>
  <c r="K154" i="1"/>
  <c r="K155" i="1"/>
  <c r="K156" i="1"/>
  <c r="K157" i="1"/>
  <c r="K158" i="1"/>
  <c r="K159" i="1"/>
  <c r="K160" i="1"/>
  <c r="K161" i="1"/>
  <c r="K162" i="1"/>
  <c r="K163" i="1"/>
  <c r="K164" i="1"/>
  <c r="K165" i="1"/>
  <c r="K166" i="1"/>
  <c r="K167" i="1"/>
  <c r="K168" i="1"/>
  <c r="K169" i="1"/>
  <c r="K170" i="1"/>
  <c r="K171" i="1"/>
  <c r="K172" i="1"/>
  <c r="K173" i="1"/>
  <c r="K174" i="1"/>
  <c r="K175" i="1"/>
  <c r="K176" i="1"/>
  <c r="K177" i="1"/>
  <c r="K178" i="1"/>
  <c r="K179" i="1"/>
  <c r="K180" i="1"/>
  <c r="K181" i="1"/>
  <c r="K182" i="1"/>
  <c r="K183" i="1"/>
  <c r="K184" i="1"/>
  <c r="K185" i="1"/>
  <c r="K186" i="1"/>
  <c r="K187" i="1"/>
  <c r="K188" i="1"/>
  <c r="K189" i="1"/>
  <c r="K190" i="1"/>
  <c r="K191" i="1"/>
  <c r="K192" i="1"/>
  <c r="K193" i="1"/>
  <c r="K194" i="1"/>
  <c r="K195" i="1"/>
  <c r="K196" i="1"/>
  <c r="K197" i="1"/>
  <c r="K198" i="1"/>
  <c r="K199" i="1"/>
  <c r="K200" i="1"/>
  <c r="K201" i="1"/>
  <c r="K202" i="1"/>
  <c r="K203" i="1"/>
  <c r="K204" i="1"/>
  <c r="K205" i="1"/>
  <c r="K206" i="1"/>
  <c r="K207" i="1"/>
  <c r="K208" i="1"/>
  <c r="K209" i="1"/>
  <c r="K210" i="1"/>
  <c r="K211" i="1"/>
  <c r="K212" i="1"/>
  <c r="K213" i="1"/>
  <c r="K214" i="1"/>
  <c r="K215" i="1"/>
  <c r="K216" i="1"/>
  <c r="K217" i="1"/>
  <c r="K218" i="1"/>
  <c r="K219" i="1"/>
  <c r="K220" i="1"/>
  <c r="K221" i="1"/>
  <c r="K222" i="1"/>
  <c r="K223" i="1"/>
  <c r="K224" i="1"/>
  <c r="K225" i="1"/>
  <c r="K226" i="1"/>
  <c r="K227" i="1"/>
  <c r="K228" i="1"/>
  <c r="K229" i="1"/>
  <c r="K230" i="1"/>
  <c r="K231" i="1"/>
  <c r="K232" i="1"/>
  <c r="K233" i="1"/>
  <c r="K234" i="1"/>
  <c r="K235" i="1"/>
  <c r="K236" i="1"/>
  <c r="K237" i="1"/>
  <c r="K238" i="1"/>
  <c r="K239" i="1"/>
  <c r="K240" i="1"/>
  <c r="K241" i="1"/>
  <c r="K242" i="1"/>
  <c r="K243" i="1"/>
  <c r="K244" i="1"/>
  <c r="K245" i="1"/>
  <c r="K246" i="1"/>
  <c r="K247" i="1"/>
  <c r="K248" i="1"/>
  <c r="K249" i="1"/>
  <c r="K250" i="1"/>
  <c r="K251" i="1"/>
  <c r="K252" i="1"/>
  <c r="K253" i="1"/>
  <c r="K254" i="1"/>
  <c r="K255" i="1"/>
  <c r="K256" i="1"/>
  <c r="K257" i="1"/>
  <c r="K258" i="1"/>
  <c r="K259" i="1"/>
  <c r="K260" i="1"/>
  <c r="K261" i="1"/>
  <c r="K262" i="1"/>
  <c r="K263" i="1"/>
  <c r="K264" i="1"/>
  <c r="K265" i="1"/>
  <c r="K266" i="1"/>
  <c r="K267" i="1"/>
  <c r="K268" i="1"/>
  <c r="K269" i="1"/>
  <c r="K270" i="1"/>
  <c r="K271" i="1"/>
  <c r="K272" i="1"/>
  <c r="K273" i="1"/>
  <c r="K274" i="1"/>
  <c r="K275" i="1"/>
  <c r="K276" i="1"/>
  <c r="K277" i="1"/>
  <c r="K278" i="1"/>
  <c r="K279" i="1"/>
  <c r="K280" i="1"/>
  <c r="K281" i="1"/>
  <c r="K282" i="1"/>
  <c r="K283" i="1"/>
  <c r="K284" i="1"/>
  <c r="K285" i="1"/>
  <c r="K286" i="1"/>
  <c r="K287" i="1"/>
  <c r="K288" i="1"/>
  <c r="K289" i="1"/>
  <c r="K290" i="1"/>
  <c r="K291" i="1"/>
  <c r="K292" i="1"/>
  <c r="K293" i="1"/>
  <c r="K294" i="1"/>
  <c r="K295" i="1"/>
  <c r="K296" i="1"/>
  <c r="K297" i="1"/>
  <c r="K298" i="1"/>
  <c r="K299" i="1"/>
  <c r="K300" i="1"/>
  <c r="K301" i="1"/>
  <c r="K302" i="1"/>
  <c r="K303" i="1"/>
  <c r="K304" i="1"/>
  <c r="K305" i="1"/>
  <c r="K306" i="1"/>
  <c r="K307" i="1"/>
  <c r="K308" i="1"/>
  <c r="K309" i="1"/>
  <c r="K310" i="1"/>
  <c r="K311" i="1"/>
  <c r="K312" i="1"/>
  <c r="K313" i="1"/>
  <c r="K314" i="1"/>
  <c r="K315" i="1"/>
  <c r="K316" i="1"/>
  <c r="K317" i="1"/>
  <c r="K318" i="1"/>
  <c r="K319" i="1"/>
  <c r="K320" i="1"/>
  <c r="K321" i="1"/>
  <c r="K322" i="1"/>
  <c r="K323" i="1"/>
  <c r="K324" i="1"/>
  <c r="K325" i="1"/>
  <c r="K326" i="1"/>
  <c r="K327" i="1"/>
  <c r="K328" i="1"/>
  <c r="K329" i="1"/>
  <c r="K330" i="1"/>
  <c r="K331" i="1"/>
  <c r="K332" i="1"/>
  <c r="K333" i="1"/>
  <c r="K334" i="1"/>
  <c r="K335" i="1"/>
  <c r="K336" i="1"/>
  <c r="K337" i="1"/>
  <c r="K338" i="1"/>
  <c r="K339" i="1"/>
  <c r="K340" i="1"/>
  <c r="K341" i="1"/>
  <c r="K342" i="1"/>
  <c r="K343" i="1"/>
  <c r="K344" i="1"/>
  <c r="K345" i="1"/>
  <c r="K346" i="1"/>
  <c r="K347" i="1"/>
  <c r="K348" i="1"/>
  <c r="K349" i="1"/>
  <c r="K350" i="1"/>
  <c r="K351" i="1"/>
  <c r="K352" i="1"/>
  <c r="K353" i="1"/>
  <c r="K354" i="1"/>
  <c r="K355" i="1"/>
  <c r="K356" i="1"/>
  <c r="K357" i="1"/>
  <c r="K358" i="1"/>
  <c r="K359" i="1"/>
  <c r="K360" i="1"/>
  <c r="K361" i="1"/>
  <c r="K362" i="1"/>
  <c r="K363" i="1"/>
  <c r="K364" i="1"/>
  <c r="K365" i="1"/>
  <c r="K366" i="1"/>
  <c r="K367" i="1"/>
  <c r="K368" i="1"/>
  <c r="K369" i="1"/>
  <c r="K370" i="1"/>
  <c r="K371" i="1"/>
  <c r="K372" i="1"/>
  <c r="K373" i="1"/>
  <c r="K374" i="1"/>
  <c r="K375" i="1"/>
  <c r="K376" i="1"/>
  <c r="K377" i="1"/>
  <c r="K378" i="1"/>
  <c r="K379" i="1"/>
  <c r="K380" i="1"/>
  <c r="K381" i="1"/>
  <c r="K382" i="1"/>
  <c r="K383" i="1"/>
  <c r="K384" i="1"/>
  <c r="K385" i="1"/>
  <c r="K386" i="1"/>
  <c r="K387" i="1"/>
  <c r="K388" i="1"/>
  <c r="K389" i="1"/>
  <c r="K390" i="1"/>
  <c r="K391" i="1"/>
  <c r="K392" i="1"/>
  <c r="K393" i="1"/>
  <c r="K394" i="1"/>
  <c r="K395" i="1"/>
  <c r="K396" i="1"/>
  <c r="K397" i="1"/>
  <c r="K398" i="1"/>
  <c r="K399" i="1"/>
  <c r="K400" i="1"/>
  <c r="K401" i="1"/>
  <c r="K402" i="1"/>
  <c r="K403" i="1"/>
  <c r="K404" i="1"/>
  <c r="K405" i="1"/>
  <c r="K406" i="1"/>
  <c r="K407" i="1"/>
  <c r="K408" i="1"/>
  <c r="K409" i="1"/>
  <c r="K410" i="1"/>
  <c r="K411" i="1"/>
  <c r="K412" i="1"/>
  <c r="K413" i="1"/>
  <c r="K414" i="1"/>
  <c r="K415" i="1"/>
  <c r="K416" i="1"/>
  <c r="K417" i="1"/>
  <c r="K418" i="1"/>
  <c r="K419" i="1"/>
  <c r="K420" i="1"/>
  <c r="K421" i="1"/>
  <c r="K422" i="1"/>
  <c r="K423" i="1"/>
  <c r="K424" i="1"/>
  <c r="K425" i="1"/>
  <c r="K426" i="1"/>
  <c r="K427" i="1"/>
  <c r="K428" i="1"/>
  <c r="K429" i="1"/>
  <c r="K430" i="1"/>
  <c r="K431" i="1"/>
  <c r="K432" i="1"/>
  <c r="K433" i="1"/>
  <c r="K434" i="1"/>
  <c r="K435" i="1"/>
  <c r="K436" i="1"/>
  <c r="K437" i="1"/>
  <c r="K438" i="1"/>
  <c r="K439" i="1"/>
  <c r="K440" i="1"/>
  <c r="K441" i="1"/>
  <c r="K442" i="1"/>
  <c r="K443" i="1"/>
  <c r="K444" i="1"/>
  <c r="K445" i="1"/>
  <c r="K446" i="1"/>
  <c r="K447" i="1"/>
  <c r="K448" i="1"/>
  <c r="K449" i="1"/>
  <c r="K450" i="1"/>
  <c r="K451" i="1"/>
  <c r="K452" i="1"/>
  <c r="K453" i="1"/>
  <c r="K454" i="1"/>
  <c r="K455" i="1"/>
  <c r="K456" i="1"/>
  <c r="K457" i="1"/>
  <c r="K458" i="1"/>
  <c r="K459" i="1"/>
  <c r="K460" i="1"/>
  <c r="K461" i="1"/>
  <c r="K462" i="1"/>
  <c r="K463" i="1"/>
  <c r="K464" i="1"/>
  <c r="K465" i="1"/>
  <c r="K466" i="1"/>
  <c r="K467" i="1"/>
  <c r="K468" i="1"/>
  <c r="K469" i="1"/>
  <c r="K470" i="1"/>
  <c r="K471" i="1"/>
  <c r="K472" i="1"/>
  <c r="K473" i="1"/>
  <c r="K474" i="1"/>
  <c r="K475" i="1"/>
  <c r="K476" i="1"/>
  <c r="K477" i="1"/>
  <c r="K478" i="1"/>
  <c r="K479" i="1"/>
  <c r="K480" i="1"/>
  <c r="K481" i="1"/>
  <c r="K482" i="1"/>
  <c r="K483" i="1"/>
  <c r="K484" i="1"/>
  <c r="K485" i="1"/>
  <c r="K486" i="1"/>
  <c r="K487" i="1"/>
  <c r="K488" i="1"/>
  <c r="K489" i="1"/>
  <c r="K490" i="1"/>
  <c r="K491" i="1"/>
  <c r="K492" i="1"/>
  <c r="K493" i="1"/>
  <c r="K494" i="1"/>
  <c r="K495" i="1"/>
  <c r="K496" i="1"/>
  <c r="K497" i="1"/>
  <c r="K498" i="1"/>
  <c r="K499" i="1"/>
  <c r="K500" i="1"/>
  <c r="K501" i="1"/>
  <c r="K502" i="1"/>
  <c r="K503" i="1"/>
  <c r="K504" i="1"/>
  <c r="K505" i="1"/>
  <c r="K506" i="1"/>
  <c r="K507" i="1"/>
  <c r="K508" i="1"/>
  <c r="K509" i="1"/>
  <c r="K510" i="1"/>
  <c r="K511" i="1"/>
  <c r="K512" i="1"/>
  <c r="K513" i="1"/>
  <c r="K514" i="1"/>
  <c r="K515" i="1"/>
  <c r="K516" i="1"/>
  <c r="K517" i="1"/>
  <c r="K518" i="1"/>
  <c r="K519" i="1"/>
  <c r="K520" i="1"/>
  <c r="K521" i="1"/>
  <c r="K522" i="1"/>
  <c r="K523" i="1"/>
  <c r="K524" i="1"/>
  <c r="K525" i="1"/>
  <c r="K526" i="1"/>
  <c r="K527" i="1"/>
  <c r="K528" i="1"/>
  <c r="K529" i="1"/>
  <c r="K530" i="1"/>
  <c r="K531" i="1"/>
  <c r="K532" i="1"/>
  <c r="K533" i="1"/>
  <c r="K534" i="1"/>
  <c r="K535" i="1"/>
  <c r="K536" i="1"/>
  <c r="K537" i="1"/>
  <c r="K538" i="1"/>
  <c r="K539" i="1"/>
  <c r="K540" i="1"/>
  <c r="K541" i="1"/>
  <c r="K542" i="1"/>
  <c r="K543" i="1"/>
  <c r="K544" i="1"/>
  <c r="K545" i="1"/>
  <c r="K546" i="1"/>
  <c r="K547" i="1"/>
  <c r="K548" i="1"/>
  <c r="K549" i="1"/>
  <c r="K550" i="1"/>
  <c r="K551" i="1"/>
  <c r="K552" i="1"/>
  <c r="K553" i="1"/>
  <c r="K554" i="1"/>
  <c r="K555" i="1"/>
  <c r="K556" i="1"/>
  <c r="K557" i="1"/>
  <c r="K558" i="1"/>
  <c r="K559" i="1"/>
  <c r="K560" i="1"/>
  <c r="K561" i="1"/>
  <c r="K562" i="1"/>
  <c r="K563" i="1"/>
  <c r="K564" i="1"/>
  <c r="K565" i="1"/>
  <c r="K566" i="1"/>
  <c r="K567" i="1"/>
  <c r="K568" i="1"/>
  <c r="K569" i="1"/>
  <c r="K570" i="1"/>
  <c r="K571" i="1"/>
  <c r="K572" i="1"/>
  <c r="K573" i="1"/>
  <c r="K574" i="1"/>
  <c r="K575" i="1"/>
  <c r="K576" i="1"/>
  <c r="K577" i="1"/>
  <c r="K578" i="1"/>
  <c r="K579" i="1"/>
  <c r="K580" i="1"/>
  <c r="K581" i="1"/>
  <c r="K582" i="1"/>
  <c r="K583" i="1"/>
  <c r="K584" i="1"/>
  <c r="K585" i="1"/>
  <c r="K586" i="1"/>
  <c r="K587" i="1"/>
  <c r="K588" i="1"/>
  <c r="K589" i="1"/>
  <c r="K590" i="1"/>
  <c r="K591" i="1"/>
  <c r="K592" i="1"/>
  <c r="K593" i="1"/>
  <c r="K594" i="1"/>
  <c r="K595" i="1"/>
  <c r="K596" i="1"/>
  <c r="K597" i="1"/>
  <c r="K598" i="1"/>
  <c r="K599" i="1"/>
  <c r="K600" i="1"/>
  <c r="K601" i="1"/>
  <c r="K602" i="1"/>
  <c r="K603" i="1"/>
  <c r="K604" i="1"/>
  <c r="K605" i="1"/>
  <c r="K606" i="1"/>
  <c r="K607" i="1"/>
  <c r="K608" i="1"/>
  <c r="K609" i="1"/>
  <c r="K610" i="1"/>
  <c r="K611" i="1"/>
  <c r="K612" i="1"/>
  <c r="K613" i="1"/>
  <c r="K614" i="1"/>
  <c r="K615" i="1"/>
  <c r="K616" i="1"/>
  <c r="K617" i="1"/>
  <c r="K618" i="1"/>
  <c r="K619" i="1"/>
  <c r="K620" i="1"/>
  <c r="K621" i="1"/>
  <c r="K622" i="1"/>
  <c r="K623" i="1"/>
  <c r="K624" i="1"/>
  <c r="K625" i="1"/>
  <c r="K626" i="1"/>
  <c r="K627" i="1"/>
  <c r="K628" i="1"/>
  <c r="K629" i="1"/>
  <c r="K630" i="1"/>
  <c r="K631" i="1"/>
  <c r="K632" i="1"/>
  <c r="K633" i="1"/>
  <c r="K634" i="1"/>
  <c r="K635" i="1"/>
  <c r="K636" i="1"/>
  <c r="K637" i="1"/>
  <c r="K638" i="1"/>
  <c r="K639" i="1"/>
  <c r="K640" i="1"/>
  <c r="K641" i="1"/>
  <c r="K3" i="1"/>
  <c r="N3" i="1" l="1"/>
  <c r="N4" i="1"/>
  <c r="N5" i="1"/>
  <c r="N6" i="1"/>
  <c r="N7" i="1"/>
  <c r="N8" i="1"/>
  <c r="N9" i="1"/>
  <c r="N10" i="1"/>
  <c r="N11" i="1"/>
  <c r="N12" i="1"/>
  <c r="N13" i="1"/>
  <c r="N14" i="1"/>
  <c r="N15" i="1"/>
  <c r="N16" i="1"/>
  <c r="N17" i="1"/>
  <c r="N18" i="1"/>
  <c r="N19" i="1"/>
  <c r="N20" i="1"/>
  <c r="N21" i="1"/>
  <c r="N22" i="1"/>
  <c r="N23" i="1"/>
  <c r="N24" i="1"/>
  <c r="N25" i="1"/>
  <c r="N26" i="1"/>
  <c r="N27" i="1"/>
  <c r="N28" i="1"/>
  <c r="N29" i="1"/>
  <c r="N30" i="1"/>
  <c r="N31" i="1"/>
  <c r="N32" i="1"/>
  <c r="N33" i="1"/>
  <c r="N34" i="1"/>
  <c r="N35" i="1"/>
  <c r="N36" i="1"/>
  <c r="N37" i="1"/>
  <c r="N38" i="1"/>
  <c r="N39" i="1"/>
  <c r="N40" i="1"/>
  <c r="N41" i="1"/>
  <c r="N42" i="1"/>
  <c r="N43" i="1"/>
  <c r="N44" i="1"/>
  <c r="N45" i="1"/>
  <c r="N46" i="1"/>
  <c r="N47" i="1"/>
  <c r="N48" i="1"/>
  <c r="N49" i="1"/>
  <c r="N50" i="1"/>
  <c r="N51" i="1"/>
  <c r="N52" i="1"/>
  <c r="N53" i="1"/>
  <c r="N54" i="1"/>
  <c r="N55" i="1"/>
  <c r="N56" i="1"/>
  <c r="N57" i="1"/>
  <c r="N58" i="1"/>
  <c r="N59" i="1"/>
  <c r="N60" i="1"/>
  <c r="N61" i="1"/>
  <c r="N62" i="1"/>
  <c r="N63" i="1"/>
  <c r="N64" i="1"/>
  <c r="N65" i="1"/>
  <c r="N66" i="1"/>
  <c r="N67" i="1"/>
  <c r="N68" i="1"/>
  <c r="N69" i="1"/>
  <c r="N70" i="1"/>
  <c r="N71" i="1"/>
  <c r="N72" i="1"/>
  <c r="N73" i="1"/>
  <c r="N74" i="1"/>
  <c r="N75" i="1"/>
  <c r="N76" i="1"/>
  <c r="N77" i="1"/>
  <c r="N78" i="1"/>
  <c r="N79" i="1"/>
  <c r="N80" i="1"/>
  <c r="N81" i="1"/>
  <c r="N82" i="1"/>
  <c r="N83" i="1"/>
  <c r="N84" i="1"/>
  <c r="N85" i="1"/>
  <c r="N86" i="1"/>
  <c r="N87" i="1"/>
  <c r="N88" i="1"/>
  <c r="N89" i="1"/>
  <c r="N90" i="1"/>
  <c r="N91" i="1"/>
  <c r="N92" i="1"/>
  <c r="N93" i="1"/>
  <c r="N94" i="1"/>
  <c r="N95" i="1"/>
  <c r="N96" i="1"/>
  <c r="N97" i="1"/>
  <c r="N98" i="1"/>
  <c r="N99" i="1"/>
  <c r="N100" i="1"/>
  <c r="N101" i="1"/>
  <c r="N102" i="1"/>
  <c r="N103" i="1"/>
  <c r="N104" i="1"/>
  <c r="N105" i="1"/>
  <c r="N106" i="1"/>
  <c r="N107" i="1"/>
  <c r="N108" i="1"/>
  <c r="N109" i="1"/>
  <c r="N110" i="1"/>
  <c r="N111" i="1"/>
  <c r="N112" i="1"/>
  <c r="N113" i="1"/>
  <c r="N114" i="1"/>
  <c r="N115" i="1"/>
  <c r="N116" i="1"/>
  <c r="N117" i="1"/>
  <c r="N118" i="1"/>
  <c r="N119" i="1"/>
  <c r="N120" i="1"/>
  <c r="N121" i="1"/>
  <c r="N122" i="1"/>
  <c r="N123" i="1"/>
  <c r="N124" i="1"/>
  <c r="N125" i="1"/>
  <c r="N126" i="1"/>
  <c r="N127" i="1"/>
  <c r="N128" i="1"/>
  <c r="N129" i="1"/>
  <c r="N130" i="1"/>
  <c r="N131" i="1"/>
  <c r="N132" i="1"/>
  <c r="N133" i="1"/>
  <c r="N134" i="1"/>
  <c r="N135" i="1"/>
  <c r="N136" i="1"/>
  <c r="N137" i="1"/>
  <c r="N138" i="1"/>
  <c r="N139" i="1"/>
  <c r="N140" i="1"/>
  <c r="N141" i="1"/>
  <c r="N142" i="1"/>
  <c r="N143" i="1"/>
  <c r="N144" i="1"/>
  <c r="N145" i="1"/>
  <c r="N426" i="1"/>
  <c r="N427" i="1"/>
  <c r="N428" i="1"/>
  <c r="N429" i="1"/>
  <c r="N430" i="1"/>
  <c r="N431" i="1"/>
  <c r="N432" i="1"/>
  <c r="N433" i="1"/>
  <c r="N434" i="1"/>
  <c r="N435" i="1"/>
  <c r="N436" i="1"/>
  <c r="N437" i="1"/>
  <c r="N438" i="1"/>
  <c r="N439" i="1"/>
  <c r="N440" i="1"/>
  <c r="N441" i="1"/>
  <c r="N442" i="1"/>
  <c r="N443" i="1"/>
  <c r="N444" i="1"/>
  <c r="N445" i="1"/>
  <c r="N446" i="1"/>
  <c r="N447" i="1"/>
  <c r="N448" i="1"/>
  <c r="N449" i="1"/>
  <c r="N450" i="1"/>
  <c r="N451" i="1"/>
  <c r="N452" i="1"/>
  <c r="N453" i="1"/>
  <c r="N454" i="1"/>
  <c r="N455" i="1"/>
  <c r="N456" i="1"/>
  <c r="N457" i="1"/>
  <c r="N458" i="1"/>
  <c r="N459" i="1"/>
  <c r="N460" i="1"/>
  <c r="N461" i="1"/>
  <c r="N462" i="1"/>
  <c r="N463" i="1"/>
  <c r="N464" i="1"/>
  <c r="N465" i="1"/>
  <c r="N466" i="1"/>
  <c r="N467" i="1"/>
  <c r="N468" i="1"/>
  <c r="N469" i="1"/>
  <c r="N470" i="1"/>
  <c r="N471" i="1"/>
  <c r="N472" i="1"/>
  <c r="N473" i="1"/>
  <c r="N474" i="1"/>
  <c r="N475" i="1"/>
  <c r="N476" i="1"/>
  <c r="N477" i="1"/>
  <c r="N478" i="1"/>
  <c r="N479" i="1"/>
  <c r="N480" i="1"/>
  <c r="N481" i="1"/>
  <c r="N482" i="1"/>
  <c r="N483" i="1"/>
  <c r="N484" i="1"/>
  <c r="N485" i="1"/>
  <c r="N486" i="1"/>
  <c r="N487" i="1"/>
  <c r="N488" i="1"/>
  <c r="N489" i="1"/>
  <c r="N490" i="1"/>
  <c r="N491" i="1"/>
  <c r="N492" i="1"/>
  <c r="N493" i="1"/>
  <c r="N494" i="1"/>
  <c r="N495" i="1"/>
  <c r="N496" i="1"/>
  <c r="N497" i="1"/>
  <c r="N498" i="1"/>
  <c r="N499" i="1"/>
  <c r="N500" i="1"/>
  <c r="N501" i="1"/>
  <c r="N502" i="1"/>
  <c r="N503" i="1"/>
  <c r="N504" i="1"/>
  <c r="N505" i="1"/>
  <c r="N506" i="1"/>
  <c r="N507" i="1"/>
  <c r="N508" i="1"/>
  <c r="N509" i="1"/>
  <c r="N510" i="1"/>
  <c r="N511" i="1"/>
  <c r="N512" i="1"/>
  <c r="N513" i="1"/>
  <c r="N514" i="1"/>
  <c r="N515" i="1"/>
  <c r="N516" i="1"/>
  <c r="N517" i="1"/>
  <c r="N518" i="1"/>
  <c r="N519" i="1"/>
  <c r="N520" i="1"/>
  <c r="N521" i="1"/>
  <c r="N522" i="1"/>
  <c r="N523" i="1"/>
  <c r="N524" i="1"/>
  <c r="N525" i="1"/>
  <c r="N526" i="1"/>
  <c r="N527" i="1"/>
  <c r="N528" i="1"/>
  <c r="N529" i="1"/>
  <c r="N530" i="1"/>
  <c r="N531" i="1"/>
  <c r="N532" i="1"/>
  <c r="N533" i="1"/>
  <c r="N534" i="1"/>
  <c r="N535" i="1"/>
  <c r="N536" i="1"/>
  <c r="N537" i="1"/>
  <c r="N538" i="1"/>
  <c r="N539" i="1"/>
  <c r="N540" i="1"/>
  <c r="N541" i="1"/>
  <c r="N542" i="1"/>
  <c r="N543" i="1"/>
  <c r="N544" i="1"/>
  <c r="N545" i="1"/>
  <c r="N546" i="1"/>
  <c r="N547" i="1"/>
  <c r="N548" i="1"/>
  <c r="N549" i="1"/>
  <c r="N550" i="1"/>
  <c r="N551" i="1"/>
  <c r="N552" i="1"/>
  <c r="N553" i="1"/>
  <c r="N554" i="1"/>
  <c r="N555" i="1"/>
  <c r="N556" i="1"/>
  <c r="N557" i="1"/>
  <c r="N558" i="1"/>
  <c r="N559" i="1"/>
  <c r="N560" i="1"/>
  <c r="N561" i="1"/>
  <c r="N562" i="1"/>
  <c r="N563" i="1"/>
  <c r="N564" i="1"/>
  <c r="N565" i="1"/>
  <c r="N566" i="1"/>
  <c r="N567" i="1"/>
  <c r="N568" i="1"/>
  <c r="N569" i="1"/>
  <c r="N570" i="1"/>
  <c r="N571" i="1"/>
  <c r="N572" i="1"/>
  <c r="N573" i="1"/>
  <c r="N574" i="1"/>
  <c r="N575" i="1"/>
  <c r="N576" i="1"/>
  <c r="N577" i="1"/>
  <c r="N578" i="1"/>
  <c r="N579" i="1"/>
  <c r="N580" i="1"/>
  <c r="N581" i="1"/>
  <c r="N582" i="1"/>
  <c r="N583" i="1"/>
  <c r="N584" i="1"/>
  <c r="N585" i="1"/>
  <c r="N586" i="1"/>
  <c r="N587" i="1"/>
  <c r="N588" i="1"/>
  <c r="N589" i="1"/>
  <c r="N590" i="1"/>
  <c r="N591" i="1"/>
  <c r="N592" i="1"/>
  <c r="N593" i="1"/>
  <c r="N594" i="1"/>
  <c r="N595" i="1"/>
  <c r="N596" i="1"/>
  <c r="N597" i="1"/>
  <c r="N598" i="1"/>
  <c r="N599" i="1"/>
  <c r="N600" i="1"/>
  <c r="N601" i="1"/>
  <c r="N602" i="1"/>
  <c r="N603" i="1"/>
  <c r="N604" i="1"/>
  <c r="N605" i="1"/>
  <c r="N606" i="1"/>
  <c r="N607" i="1"/>
  <c r="N608" i="1"/>
  <c r="N609" i="1"/>
  <c r="N610" i="1"/>
  <c r="N611" i="1"/>
  <c r="N612" i="1"/>
  <c r="N613" i="1"/>
  <c r="N614" i="1"/>
  <c r="N615" i="1"/>
  <c r="N616" i="1"/>
  <c r="N617" i="1"/>
  <c r="N618" i="1"/>
  <c r="N619" i="1"/>
  <c r="N620" i="1"/>
  <c r="N621" i="1"/>
  <c r="N622" i="1"/>
  <c r="N623" i="1"/>
  <c r="N624" i="1"/>
  <c r="N625" i="1"/>
  <c r="N626" i="1"/>
  <c r="N627" i="1"/>
  <c r="N628" i="1"/>
  <c r="N629" i="1"/>
  <c r="N630" i="1"/>
  <c r="N631" i="1"/>
  <c r="N632" i="1"/>
  <c r="N633" i="1"/>
  <c r="N634" i="1"/>
  <c r="N635" i="1"/>
  <c r="N636" i="1"/>
  <c r="N637" i="1"/>
  <c r="N638" i="1"/>
  <c r="N639" i="1"/>
  <c r="N640" i="1"/>
  <c r="N641" i="1"/>
  <c r="N2" i="1"/>
  <c r="M212" i="1"/>
  <c r="M213" i="1"/>
  <c r="M214" i="1"/>
  <c r="M215" i="1"/>
  <c r="M216" i="1"/>
  <c r="M217" i="1"/>
  <c r="M218" i="1"/>
  <c r="M219" i="1"/>
  <c r="M220" i="1"/>
  <c r="M221" i="1"/>
  <c r="M222" i="1"/>
  <c r="M223" i="1"/>
  <c r="M224" i="1"/>
  <c r="M225" i="1"/>
  <c r="M226" i="1"/>
  <c r="M227" i="1"/>
  <c r="M228" i="1"/>
  <c r="M229" i="1"/>
  <c r="M230" i="1"/>
  <c r="M231" i="1"/>
  <c r="M232" i="1"/>
  <c r="M233" i="1"/>
  <c r="M234" i="1"/>
  <c r="M235" i="1"/>
  <c r="M236" i="1"/>
  <c r="M237" i="1"/>
  <c r="M238" i="1"/>
  <c r="M239" i="1"/>
  <c r="M240" i="1"/>
  <c r="M241" i="1"/>
  <c r="M242" i="1"/>
  <c r="M243" i="1"/>
  <c r="M244" i="1"/>
  <c r="M245" i="1"/>
  <c r="M246" i="1"/>
  <c r="M247" i="1"/>
  <c r="M248" i="1"/>
  <c r="M249" i="1"/>
  <c r="M250" i="1"/>
  <c r="M251" i="1"/>
  <c r="M252" i="1"/>
  <c r="M253" i="1"/>
  <c r="M254" i="1"/>
  <c r="M255" i="1"/>
  <c r="M256" i="1"/>
  <c r="M257" i="1"/>
  <c r="M258" i="1"/>
  <c r="M259" i="1"/>
  <c r="M260" i="1"/>
  <c r="M261" i="1"/>
  <c r="M262" i="1"/>
  <c r="M263" i="1"/>
  <c r="M264" i="1"/>
  <c r="M265" i="1"/>
  <c r="M266" i="1"/>
  <c r="M267" i="1"/>
  <c r="M268" i="1"/>
  <c r="M269" i="1"/>
  <c r="M270" i="1"/>
  <c r="M271" i="1"/>
  <c r="M272" i="1"/>
  <c r="M273" i="1"/>
  <c r="M274" i="1"/>
  <c r="M275" i="1"/>
  <c r="M276" i="1"/>
  <c r="B12" i="7"/>
  <c r="B6" i="7" a="1"/>
  <c r="B8" i="7" l="1"/>
</calcChain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3DAB4385-F98C-4C06-BBA9-EDA0F80540E6}" keepAlive="1" name="ThisWorkbookDataModel" description="Data Model" type="5" refreshedVersion="8" minRefreshableVersion="5" background="1">
    <dbPr connection="Data Model Connection" command="Model" commandType="1"/>
    <olapPr sendLocale="1" rowDrillCount="1000"/>
    <extLst>
      <ext xmlns:x15="http://schemas.microsoft.com/office/spreadsheetml/2010/11/main" uri="{DE250136-89BD-433C-8126-D09CA5730AF9}">
        <x15:connection id="" model="1"/>
      </ext>
    </extLst>
  </connection>
  <connection id="2" xr16:uid="{E0366106-B171-4A29-8E63-33AAD4C5C445}" name="WorksheetConnection_SANOP_Dashboard_Dataset.xlsx!Table1" type="102" refreshedVersion="8" minRefreshableVersion="5">
    <extLst>
      <ext xmlns:x15="http://schemas.microsoft.com/office/spreadsheetml/2010/11/main" uri="{DE250136-89BD-433C-8126-D09CA5730AF9}">
        <x15:connection id="Table1">
          <x15:rangePr sourceName="_xlcn.WorksheetConnection_SANOP_Dashboard_Dataset.xlsxTable11"/>
        </x15:connection>
      </ext>
    </extLst>
  </connection>
  <connection id="3" xr16:uid="{368D25B4-BE91-4585-9C07-ABABA907AC48}" name="WorksheetConnection_SANOP_Dashboard_Dataset.xlsx!Table2" type="102" refreshedVersion="8" minRefreshableVersion="5">
    <extLst>
      <ext xmlns:x15="http://schemas.microsoft.com/office/spreadsheetml/2010/11/main" uri="{DE250136-89BD-433C-8126-D09CA5730AF9}">
        <x15:connection id="Table2" autoDelete="1">
          <x15:rangePr sourceName="_xlcn.WorksheetConnection_SANOP_Dashboard_Dataset.xlsxTable21"/>
        </x15:connection>
      </ext>
    </extLst>
  </connection>
</connections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<sst xmlns="http://schemas.openxmlformats.org/spreadsheetml/2006/main" count="3339" uniqueCount="719">
  <si>
    <t>Order ID</t>
  </si>
  <si>
    <t>SKU ID</t>
  </si>
  <si>
    <t>Supplier ID</t>
  </si>
  <si>
    <t>Region</t>
  </si>
  <si>
    <t>Order Date</t>
  </si>
  <si>
    <t>Promised Delivery</t>
  </si>
  <si>
    <t>Actual Delivery</t>
  </si>
  <si>
    <t>Ordered Qty</t>
  </si>
  <si>
    <t>Delivered Qty</t>
  </si>
  <si>
    <t>Status</t>
  </si>
  <si>
    <t>PO-1000</t>
  </si>
  <si>
    <t>SKU001</t>
  </si>
  <si>
    <t>SUP003</t>
  </si>
  <si>
    <t>IN-North</t>
  </si>
  <si>
    <t>Delivered</t>
  </si>
  <si>
    <t>PO-1001</t>
  </si>
  <si>
    <t>SKU002</t>
  </si>
  <si>
    <t>SUP005</t>
  </si>
  <si>
    <t>APAC</t>
  </si>
  <si>
    <t>PO-1002</t>
  </si>
  <si>
    <t>SKU004</t>
  </si>
  <si>
    <t>PO-1003</t>
  </si>
  <si>
    <t>SKU007</t>
  </si>
  <si>
    <t>IN-South</t>
  </si>
  <si>
    <t>PO-1004</t>
  </si>
  <si>
    <t>PO-1005</t>
  </si>
  <si>
    <t>SUP001</t>
  </si>
  <si>
    <t>PO-1006</t>
  </si>
  <si>
    <t>IN-West</t>
  </si>
  <si>
    <t>PO-1007</t>
  </si>
  <si>
    <t>SKU006</t>
  </si>
  <si>
    <t>SUP002</t>
  </si>
  <si>
    <t>PO-1008</t>
  </si>
  <si>
    <t>SKU003</t>
  </si>
  <si>
    <t>PO-1009</t>
  </si>
  <si>
    <t>PO-1010</t>
  </si>
  <si>
    <t>PO-1011</t>
  </si>
  <si>
    <t>SKU005</t>
  </si>
  <si>
    <t>PO-1012</t>
  </si>
  <si>
    <t>PO-1013</t>
  </si>
  <si>
    <t>PO-1014</t>
  </si>
  <si>
    <t>PO-1015</t>
  </si>
  <si>
    <t>PO-1016</t>
  </si>
  <si>
    <t>PO-1017</t>
  </si>
  <si>
    <t>SKU008</t>
  </si>
  <si>
    <t>PO-1018</t>
  </si>
  <si>
    <t>PO-1019</t>
  </si>
  <si>
    <t>PO-1020</t>
  </si>
  <si>
    <t>PO-1021</t>
  </si>
  <si>
    <t>PO-1022</t>
  </si>
  <si>
    <t>PO-1023</t>
  </si>
  <si>
    <t>PO-1024</t>
  </si>
  <si>
    <t>PO-1025</t>
  </si>
  <si>
    <t>PO-1026</t>
  </si>
  <si>
    <t>PO-1027</t>
  </si>
  <si>
    <t>PO-1028</t>
  </si>
  <si>
    <t>PO-1029</t>
  </si>
  <si>
    <t>SUP004</t>
  </si>
  <si>
    <t>PO-1030</t>
  </si>
  <si>
    <t>PO-1031</t>
  </si>
  <si>
    <t>PO-1032</t>
  </si>
  <si>
    <t>PO-1033</t>
  </si>
  <si>
    <t>PO-1034</t>
  </si>
  <si>
    <t>PO-1035</t>
  </si>
  <si>
    <t>PO-1036</t>
  </si>
  <si>
    <t>PO-1037</t>
  </si>
  <si>
    <t>PO-1038</t>
  </si>
  <si>
    <t>PO-1039</t>
  </si>
  <si>
    <t>PO-1040</t>
  </si>
  <si>
    <t>PO-1041</t>
  </si>
  <si>
    <t>PO-1042</t>
  </si>
  <si>
    <t>PO-1043</t>
  </si>
  <si>
    <t>PO-1044</t>
  </si>
  <si>
    <t>PO-1045</t>
  </si>
  <si>
    <t>PO-1046</t>
  </si>
  <si>
    <t>PO-1047</t>
  </si>
  <si>
    <t>PO-1048</t>
  </si>
  <si>
    <t>PO-1049</t>
  </si>
  <si>
    <t>PO-1050</t>
  </si>
  <si>
    <t>PO-1051</t>
  </si>
  <si>
    <t>PO-1052</t>
  </si>
  <si>
    <t>PO-1053</t>
  </si>
  <si>
    <t>PO-1054</t>
  </si>
  <si>
    <t>PO-1055</t>
  </si>
  <si>
    <t>PO-1056</t>
  </si>
  <si>
    <t>PO-1057</t>
  </si>
  <si>
    <t>PO-1058</t>
  </si>
  <si>
    <t>PO-1059</t>
  </si>
  <si>
    <t>PO-1060</t>
  </si>
  <si>
    <t>PO-1061</t>
  </si>
  <si>
    <t>PO-1062</t>
  </si>
  <si>
    <t>PO-1063</t>
  </si>
  <si>
    <t>PO-1064</t>
  </si>
  <si>
    <t>PO-1065</t>
  </si>
  <si>
    <t>PO-1066</t>
  </si>
  <si>
    <t>PO-1067</t>
  </si>
  <si>
    <t>PO-1068</t>
  </si>
  <si>
    <t>PO-1069</t>
  </si>
  <si>
    <t>PO-1070</t>
  </si>
  <si>
    <t>PO-1071</t>
  </si>
  <si>
    <t>PO-1072</t>
  </si>
  <si>
    <t>PO-1073</t>
  </si>
  <si>
    <t>PO-1074</t>
  </si>
  <si>
    <t>PO-1075</t>
  </si>
  <si>
    <t>PO-1076</t>
  </si>
  <si>
    <t>PO-1077</t>
  </si>
  <si>
    <t>PO-1078</t>
  </si>
  <si>
    <t>PO-1079</t>
  </si>
  <si>
    <t>PO-1080</t>
  </si>
  <si>
    <t>PO-1081</t>
  </si>
  <si>
    <t>PO-1082</t>
  </si>
  <si>
    <t>PO-1083</t>
  </si>
  <si>
    <t>PO-1084</t>
  </si>
  <si>
    <t>PO-1085</t>
  </si>
  <si>
    <t>PO-1086</t>
  </si>
  <si>
    <t>PO-1087</t>
  </si>
  <si>
    <t>PO-1088</t>
  </si>
  <si>
    <t>PO-1089</t>
  </si>
  <si>
    <t>PO-1090</t>
  </si>
  <si>
    <t>PO-1091</t>
  </si>
  <si>
    <t>PO-1092</t>
  </si>
  <si>
    <t>PO-1093</t>
  </si>
  <si>
    <t>PO-1094</t>
  </si>
  <si>
    <t>PO-1095</t>
  </si>
  <si>
    <t>PO-1096</t>
  </si>
  <si>
    <t>PO-1097</t>
  </si>
  <si>
    <t>PO-1098</t>
  </si>
  <si>
    <t>PO-1099</t>
  </si>
  <si>
    <t>PO-1100</t>
  </si>
  <si>
    <t>PO-1101</t>
  </si>
  <si>
    <t>PO-1102</t>
  </si>
  <si>
    <t>PO-1103</t>
  </si>
  <si>
    <t>PO-1104</t>
  </si>
  <si>
    <t>PO-1105</t>
  </si>
  <si>
    <t>PO-1106</t>
  </si>
  <si>
    <t>PO-1107</t>
  </si>
  <si>
    <t>PO-1108</t>
  </si>
  <si>
    <t>PO-1109</t>
  </si>
  <si>
    <t>PO-1110</t>
  </si>
  <si>
    <t>PO-1111</t>
  </si>
  <si>
    <t>PO-1112</t>
  </si>
  <si>
    <t>PO-1113</t>
  </si>
  <si>
    <t>PO-1114</t>
  </si>
  <si>
    <t>PO-1115</t>
  </si>
  <si>
    <t>PO-1116</t>
  </si>
  <si>
    <t>PO-1117</t>
  </si>
  <si>
    <t>PO-1118</t>
  </si>
  <si>
    <t>PO-1119</t>
  </si>
  <si>
    <t>PO-1120</t>
  </si>
  <si>
    <t>PO-1121</t>
  </si>
  <si>
    <t>PO-1122</t>
  </si>
  <si>
    <t>PO-1123</t>
  </si>
  <si>
    <t>PO-1124</t>
  </si>
  <si>
    <t>PO-1125</t>
  </si>
  <si>
    <t>PO-1126</t>
  </si>
  <si>
    <t>PO-1127</t>
  </si>
  <si>
    <t>PO-1128</t>
  </si>
  <si>
    <t>PO-1129</t>
  </si>
  <si>
    <t>PO-1130</t>
  </si>
  <si>
    <t>PO-1131</t>
  </si>
  <si>
    <t>PO-1132</t>
  </si>
  <si>
    <t>PO-1133</t>
  </si>
  <si>
    <t>PO-1134</t>
  </si>
  <si>
    <t>PO-1135</t>
  </si>
  <si>
    <t>PO-1136</t>
  </si>
  <si>
    <t>PO-1137</t>
  </si>
  <si>
    <t>PO-1138</t>
  </si>
  <si>
    <t>PO-1139</t>
  </si>
  <si>
    <t>PO-1140</t>
  </si>
  <si>
    <t>PO-1141</t>
  </si>
  <si>
    <t>PO-1142</t>
  </si>
  <si>
    <t>PO-1143</t>
  </si>
  <si>
    <t>PO-1144</t>
  </si>
  <si>
    <t>PO-1145</t>
  </si>
  <si>
    <t>PO-1146</t>
  </si>
  <si>
    <t>PO-1147</t>
  </si>
  <si>
    <t>PO-1148</t>
  </si>
  <si>
    <t>PO-1149</t>
  </si>
  <si>
    <t>PO-1150</t>
  </si>
  <si>
    <t>PO-1151</t>
  </si>
  <si>
    <t>PO-1152</t>
  </si>
  <si>
    <t>PO-1153</t>
  </si>
  <si>
    <t>PO-1154</t>
  </si>
  <si>
    <t>PO-1155</t>
  </si>
  <si>
    <t>PO-1156</t>
  </si>
  <si>
    <t>PO-1157</t>
  </si>
  <si>
    <t>PO-1158</t>
  </si>
  <si>
    <t>PO-1159</t>
  </si>
  <si>
    <t>PO-1160</t>
  </si>
  <si>
    <t>PO-1161</t>
  </si>
  <si>
    <t>PO-1162</t>
  </si>
  <si>
    <t>PO-1163</t>
  </si>
  <si>
    <t>PO-1164</t>
  </si>
  <si>
    <t>PO-1165</t>
  </si>
  <si>
    <t>PO-1166</t>
  </si>
  <si>
    <t>PO-1167</t>
  </si>
  <si>
    <t>PO-1168</t>
  </si>
  <si>
    <t>PO-1169</t>
  </si>
  <si>
    <t>PO-1170</t>
  </si>
  <si>
    <t>PO-1171</t>
  </si>
  <si>
    <t>PO-1172</t>
  </si>
  <si>
    <t>PO-1173</t>
  </si>
  <si>
    <t>PO-1174</t>
  </si>
  <si>
    <t>PO-1175</t>
  </si>
  <si>
    <t>PO-1176</t>
  </si>
  <si>
    <t>PO-1177</t>
  </si>
  <si>
    <t>PO-1178</t>
  </si>
  <si>
    <t>PO-1179</t>
  </si>
  <si>
    <t>PO-1180</t>
  </si>
  <si>
    <t>PO-1181</t>
  </si>
  <si>
    <t>PO-1182</t>
  </si>
  <si>
    <t>PO-1183</t>
  </si>
  <si>
    <t>PO-1184</t>
  </si>
  <si>
    <t>PO-1185</t>
  </si>
  <si>
    <t>PO-1186</t>
  </si>
  <si>
    <t>PO-1187</t>
  </si>
  <si>
    <t>PO-1188</t>
  </si>
  <si>
    <t>PO-1189</t>
  </si>
  <si>
    <t>PO-1190</t>
  </si>
  <si>
    <t>PO-1191</t>
  </si>
  <si>
    <t>PO-1192</t>
  </si>
  <si>
    <t>PO-1193</t>
  </si>
  <si>
    <t>PO-1194</t>
  </si>
  <si>
    <t>PO-1195</t>
  </si>
  <si>
    <t>PO-1196</t>
  </si>
  <si>
    <t>PO-1197</t>
  </si>
  <si>
    <t>PO-1198</t>
  </si>
  <si>
    <t>PO-1199</t>
  </si>
  <si>
    <t>PO-1200</t>
  </si>
  <si>
    <t>PO-1201</t>
  </si>
  <si>
    <t>PO-1202</t>
  </si>
  <si>
    <t>PO-1203</t>
  </si>
  <si>
    <t>PO-1204</t>
  </si>
  <si>
    <t>PO-1205</t>
  </si>
  <si>
    <t>PO-1206</t>
  </si>
  <si>
    <t>PO-1207</t>
  </si>
  <si>
    <t>PO-1208</t>
  </si>
  <si>
    <t>PO-1209</t>
  </si>
  <si>
    <t>PO-1210</t>
  </si>
  <si>
    <t>PO-1211</t>
  </si>
  <si>
    <t>PO-1212</t>
  </si>
  <si>
    <t>PO-1213</t>
  </si>
  <si>
    <t>PO-1214</t>
  </si>
  <si>
    <t>PO-1215</t>
  </si>
  <si>
    <t>PO-1216</t>
  </si>
  <si>
    <t>PO-1217</t>
  </si>
  <si>
    <t>PO-1218</t>
  </si>
  <si>
    <t>PO-1219</t>
  </si>
  <si>
    <t>PO-1220</t>
  </si>
  <si>
    <t>PO-1221</t>
  </si>
  <si>
    <t>PO-1222</t>
  </si>
  <si>
    <t>PO-1223</t>
  </si>
  <si>
    <t>PO-1224</t>
  </si>
  <si>
    <t>PO-1225</t>
  </si>
  <si>
    <t>PO-1226</t>
  </si>
  <si>
    <t>PO-1227</t>
  </si>
  <si>
    <t>PO-1228</t>
  </si>
  <si>
    <t>PO-1229</t>
  </si>
  <si>
    <t>PO-1230</t>
  </si>
  <si>
    <t>PO-1231</t>
  </si>
  <si>
    <t>PO-1232</t>
  </si>
  <si>
    <t>PO-1233</t>
  </si>
  <si>
    <t>PO-1234</t>
  </si>
  <si>
    <t>PO-1235</t>
  </si>
  <si>
    <t>PO-1236</t>
  </si>
  <si>
    <t>PO-1237</t>
  </si>
  <si>
    <t>PO-1238</t>
  </si>
  <si>
    <t>PO-1239</t>
  </si>
  <si>
    <t>PO-1240</t>
  </si>
  <si>
    <t>PO-1241</t>
  </si>
  <si>
    <t>PO-1242</t>
  </si>
  <si>
    <t>PO-1243</t>
  </si>
  <si>
    <t>PO-1244</t>
  </si>
  <si>
    <t>PO-1245</t>
  </si>
  <si>
    <t>PO-1246</t>
  </si>
  <si>
    <t>PO-1247</t>
  </si>
  <si>
    <t>PO-1248</t>
  </si>
  <si>
    <t>PO-1249</t>
  </si>
  <si>
    <t>PO-1250</t>
  </si>
  <si>
    <t>PO-1251</t>
  </si>
  <si>
    <t>PO-1252</t>
  </si>
  <si>
    <t>PO-1253</t>
  </si>
  <si>
    <t>PO-1254</t>
  </si>
  <si>
    <t>PO-1255</t>
  </si>
  <si>
    <t>PO-1256</t>
  </si>
  <si>
    <t>PO-1257</t>
  </si>
  <si>
    <t>PO-1258</t>
  </si>
  <si>
    <t>PO-1259</t>
  </si>
  <si>
    <t>PO-1260</t>
  </si>
  <si>
    <t>PO-1261</t>
  </si>
  <si>
    <t>PO-1262</t>
  </si>
  <si>
    <t>PO-1263</t>
  </si>
  <si>
    <t>PO-1264</t>
  </si>
  <si>
    <t>PO-1265</t>
  </si>
  <si>
    <t>PO-1266</t>
  </si>
  <si>
    <t>PO-1267</t>
  </si>
  <si>
    <t>PO-1268</t>
  </si>
  <si>
    <t>PO-1269</t>
  </si>
  <si>
    <t>PO-1270</t>
  </si>
  <si>
    <t>PO-1271</t>
  </si>
  <si>
    <t>PO-1272</t>
  </si>
  <si>
    <t>PO-1273</t>
  </si>
  <si>
    <t>PO-1274</t>
  </si>
  <si>
    <t>PO-1275</t>
  </si>
  <si>
    <t>PO-1276</t>
  </si>
  <si>
    <t>PO-1277</t>
  </si>
  <si>
    <t>PO-1278</t>
  </si>
  <si>
    <t>PO-1279</t>
  </si>
  <si>
    <t>PO-1280</t>
  </si>
  <si>
    <t>PO-1281</t>
  </si>
  <si>
    <t>PO-1282</t>
  </si>
  <si>
    <t>PO-1283</t>
  </si>
  <si>
    <t>PO-1284</t>
  </si>
  <si>
    <t>PO-1285</t>
  </si>
  <si>
    <t>PO-1286</t>
  </si>
  <si>
    <t>PO-1287</t>
  </si>
  <si>
    <t>PO-1288</t>
  </si>
  <si>
    <t>PO-1289</t>
  </si>
  <si>
    <t>PO-1290</t>
  </si>
  <si>
    <t>PO-1291</t>
  </si>
  <si>
    <t>PO-1292</t>
  </si>
  <si>
    <t>PO-1293</t>
  </si>
  <si>
    <t>PO-1294</t>
  </si>
  <si>
    <t>PO-1295</t>
  </si>
  <si>
    <t>PO-1296</t>
  </si>
  <si>
    <t>PO-1297</t>
  </si>
  <si>
    <t>PO-1298</t>
  </si>
  <si>
    <t>PO-1299</t>
  </si>
  <si>
    <t>PO-1300</t>
  </si>
  <si>
    <t>PO-1301</t>
  </si>
  <si>
    <t>PO-1302</t>
  </si>
  <si>
    <t>PO-1303</t>
  </si>
  <si>
    <t>PO-1304</t>
  </si>
  <si>
    <t>PO-1305</t>
  </si>
  <si>
    <t>PO-1306</t>
  </si>
  <si>
    <t>PO-1307</t>
  </si>
  <si>
    <t>PO-1308</t>
  </si>
  <si>
    <t>PO-1309</t>
  </si>
  <si>
    <t>PO-1310</t>
  </si>
  <si>
    <t>PO-1311</t>
  </si>
  <si>
    <t>PO-1312</t>
  </si>
  <si>
    <t>PO-1313</t>
  </si>
  <si>
    <t>PO-1314</t>
  </si>
  <si>
    <t>PO-1315</t>
  </si>
  <si>
    <t>PO-1316</t>
  </si>
  <si>
    <t>PO-1317</t>
  </si>
  <si>
    <t>PO-1318</t>
  </si>
  <si>
    <t>PO-1319</t>
  </si>
  <si>
    <t>PO-1320</t>
  </si>
  <si>
    <t>PO-1321</t>
  </si>
  <si>
    <t>PO-1322</t>
  </si>
  <si>
    <t>PO-1323</t>
  </si>
  <si>
    <t>PO-1324</t>
  </si>
  <si>
    <t>PO-1325</t>
  </si>
  <si>
    <t>PO-1326</t>
  </si>
  <si>
    <t>PO-1327</t>
  </si>
  <si>
    <t>PO-1328</t>
  </si>
  <si>
    <t>PO-1329</t>
  </si>
  <si>
    <t>PO-1330</t>
  </si>
  <si>
    <t>PO-1331</t>
  </si>
  <si>
    <t>PO-1332</t>
  </si>
  <si>
    <t>PO-1333</t>
  </si>
  <si>
    <t>PO-1334</t>
  </si>
  <si>
    <t>PO-1335</t>
  </si>
  <si>
    <t>PO-1336</t>
  </si>
  <si>
    <t>PO-1337</t>
  </si>
  <si>
    <t>PO-1338</t>
  </si>
  <si>
    <t>PO-1339</t>
  </si>
  <si>
    <t>PO-1340</t>
  </si>
  <si>
    <t>PO-1341</t>
  </si>
  <si>
    <t>PO-1342</t>
  </si>
  <si>
    <t>PO-1343</t>
  </si>
  <si>
    <t>PO-1344</t>
  </si>
  <si>
    <t>PO-1345</t>
  </si>
  <si>
    <t>PO-1346</t>
  </si>
  <si>
    <t>PO-1347</t>
  </si>
  <si>
    <t>PO-1348</t>
  </si>
  <si>
    <t>PO-1349</t>
  </si>
  <si>
    <t>PO-1350</t>
  </si>
  <si>
    <t>PO-1351</t>
  </si>
  <si>
    <t>PO-1352</t>
  </si>
  <si>
    <t>PO-1353</t>
  </si>
  <si>
    <t>PO-1354</t>
  </si>
  <si>
    <t>PO-1355</t>
  </si>
  <si>
    <t>PO-1356</t>
  </si>
  <si>
    <t>PO-1357</t>
  </si>
  <si>
    <t>PO-1358</t>
  </si>
  <si>
    <t>PO-1359</t>
  </si>
  <si>
    <t>PO-1360</t>
  </si>
  <si>
    <t>PO-1361</t>
  </si>
  <si>
    <t>PO-1362</t>
  </si>
  <si>
    <t>PO-1363</t>
  </si>
  <si>
    <t>PO-1364</t>
  </si>
  <si>
    <t>PO-1365</t>
  </si>
  <si>
    <t>PO-1366</t>
  </si>
  <si>
    <t>PO-1367</t>
  </si>
  <si>
    <t>PO-1368</t>
  </si>
  <si>
    <t>PO-1369</t>
  </si>
  <si>
    <t>PO-1370</t>
  </si>
  <si>
    <t>PO-1371</t>
  </si>
  <si>
    <t>PO-1372</t>
  </si>
  <si>
    <t>PO-1373</t>
  </si>
  <si>
    <t>PO-1374</t>
  </si>
  <si>
    <t>PO-1375</t>
  </si>
  <si>
    <t>PO-1376</t>
  </si>
  <si>
    <t>PO-1377</t>
  </si>
  <si>
    <t>PO-1378</t>
  </si>
  <si>
    <t>PO-1379</t>
  </si>
  <si>
    <t>PO-1380</t>
  </si>
  <si>
    <t>PO-1381</t>
  </si>
  <si>
    <t>PO-1382</t>
  </si>
  <si>
    <t>PO-1383</t>
  </si>
  <si>
    <t>PO-1384</t>
  </si>
  <si>
    <t>PO-1385</t>
  </si>
  <si>
    <t>PO-1386</t>
  </si>
  <si>
    <t>PO-1387</t>
  </si>
  <si>
    <t>PO-1388</t>
  </si>
  <si>
    <t>PO-1389</t>
  </si>
  <si>
    <t>PO-1390</t>
  </si>
  <si>
    <t>PO-1391</t>
  </si>
  <si>
    <t>PO-1392</t>
  </si>
  <si>
    <t>PO-1393</t>
  </si>
  <si>
    <t>PO-1394</t>
  </si>
  <si>
    <t>PO-1395</t>
  </si>
  <si>
    <t>PO-1396</t>
  </si>
  <si>
    <t>PO-1397</t>
  </si>
  <si>
    <t>PO-1398</t>
  </si>
  <si>
    <t>PO-1399</t>
  </si>
  <si>
    <t>PO-1400</t>
  </si>
  <si>
    <t>PO-1401</t>
  </si>
  <si>
    <t>PO-1402</t>
  </si>
  <si>
    <t>PO-1403</t>
  </si>
  <si>
    <t>PO-1404</t>
  </si>
  <si>
    <t>PO-1405</t>
  </si>
  <si>
    <t>PO-1406</t>
  </si>
  <si>
    <t>PO-1407</t>
  </si>
  <si>
    <t>PO-1408</t>
  </si>
  <si>
    <t>PO-1409</t>
  </si>
  <si>
    <t>PO-1410</t>
  </si>
  <si>
    <t>PO-1411</t>
  </si>
  <si>
    <t>PO-1412</t>
  </si>
  <si>
    <t>PO-1413</t>
  </si>
  <si>
    <t>PO-1414</t>
  </si>
  <si>
    <t>PO-1415</t>
  </si>
  <si>
    <t>PO-1416</t>
  </si>
  <si>
    <t>PO-1417</t>
  </si>
  <si>
    <t>PO-1418</t>
  </si>
  <si>
    <t>PO-1419</t>
  </si>
  <si>
    <t>PO-1420</t>
  </si>
  <si>
    <t>PO-1421</t>
  </si>
  <si>
    <t>PO-1422</t>
  </si>
  <si>
    <t>PO-1423</t>
  </si>
  <si>
    <t>PO-1424</t>
  </si>
  <si>
    <t>PO-1425</t>
  </si>
  <si>
    <t>PO-1426</t>
  </si>
  <si>
    <t>PO-1427</t>
  </si>
  <si>
    <t>PO-1428</t>
  </si>
  <si>
    <t>PO-1429</t>
  </si>
  <si>
    <t>PO-1430</t>
  </si>
  <si>
    <t>PO-1431</t>
  </si>
  <si>
    <t>PO-1432</t>
  </si>
  <si>
    <t>PO-1433</t>
  </si>
  <si>
    <t>PO-1434</t>
  </si>
  <si>
    <t>PO-1435</t>
  </si>
  <si>
    <t>PO-1436</t>
  </si>
  <si>
    <t>PO-1437</t>
  </si>
  <si>
    <t>PO-1438</t>
  </si>
  <si>
    <t>PO-1439</t>
  </si>
  <si>
    <t>PO-1440</t>
  </si>
  <si>
    <t>PO-1441</t>
  </si>
  <si>
    <t>PO-1442</t>
  </si>
  <si>
    <t>PO-1443</t>
  </si>
  <si>
    <t>PO-1444</t>
  </si>
  <si>
    <t>PO-1445</t>
  </si>
  <si>
    <t>PO-1446</t>
  </si>
  <si>
    <t>PO-1447</t>
  </si>
  <si>
    <t>PO-1448</t>
  </si>
  <si>
    <t>PO-1449</t>
  </si>
  <si>
    <t>PO-1450</t>
  </si>
  <si>
    <t>PO-1451</t>
  </si>
  <si>
    <t>PO-1452</t>
  </si>
  <si>
    <t>PO-1453</t>
  </si>
  <si>
    <t>PO-1454</t>
  </si>
  <si>
    <t>PO-1455</t>
  </si>
  <si>
    <t>PO-1456</t>
  </si>
  <si>
    <t>PO-1457</t>
  </si>
  <si>
    <t>PO-1458</t>
  </si>
  <si>
    <t>PO-1459</t>
  </si>
  <si>
    <t>PO-1460</t>
  </si>
  <si>
    <t>PO-1461</t>
  </si>
  <si>
    <t>PO-1462</t>
  </si>
  <si>
    <t>PO-1463</t>
  </si>
  <si>
    <t>PO-1464</t>
  </si>
  <si>
    <t>PO-1465</t>
  </si>
  <si>
    <t>PO-1466</t>
  </si>
  <si>
    <t>PO-1467</t>
  </si>
  <si>
    <t>PO-1468</t>
  </si>
  <si>
    <t>PO-1469</t>
  </si>
  <si>
    <t>PO-1470</t>
  </si>
  <si>
    <t>PO-1471</t>
  </si>
  <si>
    <t>PO-1472</t>
  </si>
  <si>
    <t>PO-1473</t>
  </si>
  <si>
    <t>PO-1474</t>
  </si>
  <si>
    <t>PO-1475</t>
  </si>
  <si>
    <t>PO-1476</t>
  </si>
  <si>
    <t>PO-1477</t>
  </si>
  <si>
    <t>PO-1478</t>
  </si>
  <si>
    <t>PO-1479</t>
  </si>
  <si>
    <t>PO-1480</t>
  </si>
  <si>
    <t>PO-1481</t>
  </si>
  <si>
    <t>PO-1482</t>
  </si>
  <si>
    <t>PO-1483</t>
  </si>
  <si>
    <t>PO-1484</t>
  </si>
  <si>
    <t>PO-1485</t>
  </si>
  <si>
    <t>PO-1486</t>
  </si>
  <si>
    <t>PO-1487</t>
  </si>
  <si>
    <t>PO-1488</t>
  </si>
  <si>
    <t>PO-1489</t>
  </si>
  <si>
    <t>PO-1490</t>
  </si>
  <si>
    <t>PO-1491</t>
  </si>
  <si>
    <t>PO-1492</t>
  </si>
  <si>
    <t>PO-1493</t>
  </si>
  <si>
    <t>PO-1494</t>
  </si>
  <si>
    <t>PO-1495</t>
  </si>
  <si>
    <t>PO-1496</t>
  </si>
  <si>
    <t>PO-1497</t>
  </si>
  <si>
    <t>PO-1498</t>
  </si>
  <si>
    <t>PO-1499</t>
  </si>
  <si>
    <t>PO-1500</t>
  </si>
  <si>
    <t>PO-1501</t>
  </si>
  <si>
    <t>PO-1502</t>
  </si>
  <si>
    <t>PO-1503</t>
  </si>
  <si>
    <t>PO-1504</t>
  </si>
  <si>
    <t>PO-1505</t>
  </si>
  <si>
    <t>PO-1506</t>
  </si>
  <si>
    <t>PO-1507</t>
  </si>
  <si>
    <t>PO-1508</t>
  </si>
  <si>
    <t>PO-1509</t>
  </si>
  <si>
    <t>PO-1510</t>
  </si>
  <si>
    <t>PO-1511</t>
  </si>
  <si>
    <t>PO-1512</t>
  </si>
  <si>
    <t>PO-1513</t>
  </si>
  <si>
    <t>PO-1514</t>
  </si>
  <si>
    <t>PO-1515</t>
  </si>
  <si>
    <t>PO-1516</t>
  </si>
  <si>
    <t>PO-1517</t>
  </si>
  <si>
    <t>PO-1518</t>
  </si>
  <si>
    <t>PO-1519</t>
  </si>
  <si>
    <t>PO-1520</t>
  </si>
  <si>
    <t>PO-1521</t>
  </si>
  <si>
    <t>PO-1522</t>
  </si>
  <si>
    <t>PO-1523</t>
  </si>
  <si>
    <t>PO-1524</t>
  </si>
  <si>
    <t>PO-1525</t>
  </si>
  <si>
    <t>PO-1526</t>
  </si>
  <si>
    <t>PO-1527</t>
  </si>
  <si>
    <t>PO-1528</t>
  </si>
  <si>
    <t>PO-1529</t>
  </si>
  <si>
    <t>PO-1530</t>
  </si>
  <si>
    <t>PO-1531</t>
  </si>
  <si>
    <t>PO-1532</t>
  </si>
  <si>
    <t>PO-1533</t>
  </si>
  <si>
    <t>PO-1534</t>
  </si>
  <si>
    <t>PO-1535</t>
  </si>
  <si>
    <t>In-Transit</t>
  </si>
  <si>
    <t>PO-1536</t>
  </si>
  <si>
    <t>PO-1537</t>
  </si>
  <si>
    <t>PO-1538</t>
  </si>
  <si>
    <t>PO-1539</t>
  </si>
  <si>
    <t>PO-1540</t>
  </si>
  <si>
    <t>PO-1541</t>
  </si>
  <si>
    <t>PO-1542</t>
  </si>
  <si>
    <t>PO-1543</t>
  </si>
  <si>
    <t>PO-1544</t>
  </si>
  <si>
    <t>PO-1545</t>
  </si>
  <si>
    <t>PO-1546</t>
  </si>
  <si>
    <t>PO-1547</t>
  </si>
  <si>
    <t>At Risk</t>
  </si>
  <si>
    <t>PO-1548</t>
  </si>
  <si>
    <t>PO-1549</t>
  </si>
  <si>
    <t>PO-1550</t>
  </si>
  <si>
    <t>PO-1551</t>
  </si>
  <si>
    <t>PO-1552</t>
  </si>
  <si>
    <t>PO-1553</t>
  </si>
  <si>
    <t>PO-1554</t>
  </si>
  <si>
    <t>PO-1555</t>
  </si>
  <si>
    <t>PO-1556</t>
  </si>
  <si>
    <t>PO-1557</t>
  </si>
  <si>
    <t>PO-1558</t>
  </si>
  <si>
    <t>PO-1559</t>
  </si>
  <si>
    <t>PO-1560</t>
  </si>
  <si>
    <t>PO-1561</t>
  </si>
  <si>
    <t>PO-1562</t>
  </si>
  <si>
    <t>PO-1563</t>
  </si>
  <si>
    <t>PO-1564</t>
  </si>
  <si>
    <t>PO-1565</t>
  </si>
  <si>
    <t>PO-1566</t>
  </si>
  <si>
    <t>PO-1567</t>
  </si>
  <si>
    <t>PO-1568</t>
  </si>
  <si>
    <t>PO-1569</t>
  </si>
  <si>
    <t>PO-1570</t>
  </si>
  <si>
    <t>PO-1571</t>
  </si>
  <si>
    <t>PO-1572</t>
  </si>
  <si>
    <t>PO-1573</t>
  </si>
  <si>
    <t>PO-1574</t>
  </si>
  <si>
    <t>PO-1575</t>
  </si>
  <si>
    <t>PO-1576</t>
  </si>
  <si>
    <t>PO-1577</t>
  </si>
  <si>
    <t>PO-1578</t>
  </si>
  <si>
    <t>PO-1579</t>
  </si>
  <si>
    <t>PO-1580</t>
  </si>
  <si>
    <t>PO-1581</t>
  </si>
  <si>
    <t>PO-1582</t>
  </si>
  <si>
    <t>PO-1583</t>
  </si>
  <si>
    <t>PO-1584</t>
  </si>
  <si>
    <t>PO-1585</t>
  </si>
  <si>
    <t>PO-1586</t>
  </si>
  <si>
    <t>PO-1587</t>
  </si>
  <si>
    <t>PO-1588</t>
  </si>
  <si>
    <t>PO-1589</t>
  </si>
  <si>
    <t>PO-1590</t>
  </si>
  <si>
    <t>PO-1591</t>
  </si>
  <si>
    <t>PO-1592</t>
  </si>
  <si>
    <t>PO-1593</t>
  </si>
  <si>
    <t>PO-1594</t>
  </si>
  <si>
    <t>PO-1595</t>
  </si>
  <si>
    <t>PO-1596</t>
  </si>
  <si>
    <t>PO-1597</t>
  </si>
  <si>
    <t>PO-1598</t>
  </si>
  <si>
    <t>PO-1599</t>
  </si>
  <si>
    <t>PO-1600</t>
  </si>
  <si>
    <t>PO-1601</t>
  </si>
  <si>
    <t>PO-1602</t>
  </si>
  <si>
    <t>PO-1603</t>
  </si>
  <si>
    <t>PO-1604</t>
  </si>
  <si>
    <t>PO-1605</t>
  </si>
  <si>
    <t>PO-1606</t>
  </si>
  <si>
    <t>PO-1607</t>
  </si>
  <si>
    <t>PO-1608</t>
  </si>
  <si>
    <t>PO-1609</t>
  </si>
  <si>
    <t>PO-1610</t>
  </si>
  <si>
    <t>PO-1611</t>
  </si>
  <si>
    <t>PO-1612</t>
  </si>
  <si>
    <t>PO-1613</t>
  </si>
  <si>
    <t>PO-1614</t>
  </si>
  <si>
    <t>PO-1615</t>
  </si>
  <si>
    <t>PO-1616</t>
  </si>
  <si>
    <t>PO-1617</t>
  </si>
  <si>
    <t>PO-1618</t>
  </si>
  <si>
    <t>PO-1619</t>
  </si>
  <si>
    <t>PO-1620</t>
  </si>
  <si>
    <t>PO-1621</t>
  </si>
  <si>
    <t>PO-1622</t>
  </si>
  <si>
    <t>PO-1623</t>
  </si>
  <si>
    <t>PO-1624</t>
  </si>
  <si>
    <t>PO-1625</t>
  </si>
  <si>
    <t>PO-1626</t>
  </si>
  <si>
    <t>PO-1627</t>
  </si>
  <si>
    <t>PO-1628</t>
  </si>
  <si>
    <t>PO-1629</t>
  </si>
  <si>
    <t>PO-1630</t>
  </si>
  <si>
    <t>PO-1631</t>
  </si>
  <si>
    <t>PO-1632</t>
  </si>
  <si>
    <t>PO-1633</t>
  </si>
  <si>
    <t>PO-1634</t>
  </si>
  <si>
    <t>PO-1635</t>
  </si>
  <si>
    <t>PO-1636</t>
  </si>
  <si>
    <t>PO-1637</t>
  </si>
  <si>
    <t>PO-1638</t>
  </si>
  <si>
    <t>PO-1639</t>
  </si>
  <si>
    <t>Month</t>
  </si>
  <si>
    <t>Forecasted Demand</t>
  </si>
  <si>
    <t>Actual Demand</t>
  </si>
  <si>
    <t>SKU Name</t>
  </si>
  <si>
    <t>Category</t>
  </si>
  <si>
    <t>Unit Cost (INR)</t>
  </si>
  <si>
    <t>HDPE Container 500ml</t>
  </si>
  <si>
    <t>Packaging</t>
  </si>
  <si>
    <t>Corrugated Box Type-A</t>
  </si>
  <si>
    <t>Wheat Flour 25kg</t>
  </si>
  <si>
    <t>Raw Material</t>
  </si>
  <si>
    <t>Palm Oil 15L</t>
  </si>
  <si>
    <t>Biscuit Mix Compound</t>
  </si>
  <si>
    <t>Ready Biscuit Pack 200g</t>
  </si>
  <si>
    <t>Finished Goods</t>
  </si>
  <si>
    <t>Instant Noodle Brick</t>
  </si>
  <si>
    <t>Snack Bar 50g</t>
  </si>
  <si>
    <t>Supplier Name</t>
  </si>
  <si>
    <t>Country</t>
  </si>
  <si>
    <t>Std Lead Time (Days)</t>
  </si>
  <si>
    <t>Bharat Packaging Co.</t>
  </si>
  <si>
    <t>India</t>
  </si>
  <si>
    <t>FastTrack Logistics</t>
  </si>
  <si>
    <t>SinoSource Ltd.</t>
  </si>
  <si>
    <t>China</t>
  </si>
  <si>
    <t>EuroParts GmbH</t>
  </si>
  <si>
    <t>Germany</t>
  </si>
  <si>
    <t>AgriRaw Supplies</t>
  </si>
  <si>
    <t>KPI</t>
  </si>
  <si>
    <t>Value</t>
  </si>
  <si>
    <t>OTIF %</t>
  </si>
  <si>
    <t>count  of OTIF order</t>
  </si>
  <si>
    <t xml:space="preserve">OTIF </t>
  </si>
  <si>
    <t>total order</t>
  </si>
  <si>
    <t>fill rate</t>
  </si>
  <si>
    <t>Forecast Accuracy %</t>
  </si>
  <si>
    <t>Lead Time Variance</t>
  </si>
  <si>
    <t>std Lead time</t>
  </si>
  <si>
    <t>LT Variance</t>
  </si>
  <si>
    <t>Grand Total</t>
  </si>
  <si>
    <t>Row Labels</t>
  </si>
  <si>
    <t>Count of Order ID</t>
  </si>
  <si>
    <t>OTiF Flag</t>
  </si>
  <si>
    <t>FillRate</t>
  </si>
  <si>
    <t>Sum of OTiF Flag</t>
  </si>
  <si>
    <t>OTIF % per Customer</t>
  </si>
  <si>
    <t>Categories</t>
  </si>
  <si>
    <t>Sum of Delivered Qty</t>
  </si>
  <si>
    <t>Sum of Ordered Qty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</si>
</sst>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yyyy\-mm\-dd"/>
    <numFmt numFmtId="165" formatCode="mmm\-yyyy"/>
  </numFmts>
  <fonts count="7" x14ac:knownFonts="1">
    <font>
      <sz val="11"/>
      <color theme="1"/>
      <name val="Calibri"/>
      <family val="2"/>
      <charset val="1"/>
    </font>
    <font>
      <b/>
      <sz val="10"/>
      <color rgb="FFFFFFFF"/>
      <name val="Arial"/>
      <charset val="1"/>
    </font>
    <font>
      <sz val="9"/>
      <name val="Arial"/>
      <charset val="1"/>
    </font>
    <font>
      <sz val="9"/>
      <color rgb="FF276221"/>
      <name val="Arial"/>
      <charset val="1"/>
    </font>
    <font>
      <sz val="9"/>
      <color rgb="FF7D5A00"/>
      <name val="Arial"/>
      <charset val="1"/>
    </font>
    <font>
      <b/>
      <sz val="9"/>
      <color rgb="FF9C0006"/>
      <name val="Arial"/>
      <charset val="1"/>
    </font>
    <font>
      <b/>
      <sz val="10"/>
      <color rgb="FFFFFFFF"/>
      <name val="Arial"/>
      <family val="2"/>
    </font>
  </fonts>
  <fills count="7">
    <fill>
      <patternFill patternType="none"/>
    </fill>
    <fill>
      <patternFill patternType="gray125"/>
    </fill>
    <fill>
      <patternFill patternType="solid">
        <fgColor rgb="FF1F4E79"/>
        <bgColor rgb="FF003366"/>
      </patternFill>
    </fill>
    <fill>
      <patternFill patternType="solid">
        <fgColor rgb="FFD6E4F0"/>
        <bgColor rgb="FFE2EFDA"/>
      </patternFill>
    </fill>
    <fill>
      <patternFill patternType="solid">
        <fgColor rgb="FFC6EFCE"/>
        <bgColor rgb="FFE2EFDA"/>
      </patternFill>
    </fill>
    <fill>
      <patternFill patternType="solid">
        <fgColor rgb="FFFFE699"/>
        <bgColor rgb="FFFFCCCC"/>
      </patternFill>
    </fill>
    <fill>
      <patternFill patternType="solid">
        <fgColor rgb="FFFFCCCC"/>
        <bgColor rgb="FFFFE699"/>
      </patternFill>
    </fill>
  </fills>
  <borders count="4">
    <border>
      <left/>
      <right/>
      <top/>
      <bottom/>
      <diagonal/>
    </border>
    <border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  <diagonal/>
    </border>
    <border>
      <left style="thin">
        <color rgb="FFBFBFBF"/>
      </left>
      <right style="thin">
        <color rgb="FFBFBFBF"/>
      </right>
      <top/>
      <bottom/>
      <diagonal/>
    </border>
    <border>
      <left/>
      <right style="thin">
        <color rgb="FFBFBFBF"/>
      </right>
      <top style="thin">
        <color rgb="FFBFBFBF"/>
      </top>
      <bottom style="thin">
        <color rgb="FFBFBFBF"/>
      </bottom>
      <diagonal/>
    </border>
  </borders>
  <cellStyleXfs count="1">
    <xf numFmtId="0" fontId="0" fillId="0" borderId="0"/>
  </cellStyleXfs>
  <cellXfs count="23">
    <xf numFmtId="0" fontId="0" fillId="0" borderId="0" xfId="0"/>
    <xf numFmtId="0" fontId="1" fillId="2" borderId="1" xfId="0" applyFont="1" applyFill="1" applyBorder="1" applyAlignment="1">
      <alignment horizontal="center" vertical="center"/>
    </xf>
    <xf numFmtId="0" fontId="2" fillId="3" borderId="1" xfId="0" applyFont="1" applyFill="1" applyBorder="1" applyAlignment="1">
      <alignment horizontal="center" vertical="center"/>
    </xf>
    <xf numFmtId="164" fontId="2" fillId="3" borderId="1" xfId="0" applyNumberFormat="1" applyFont="1" applyFill="1" applyBorder="1" applyAlignment="1">
      <alignment horizontal="center" vertical="center"/>
    </xf>
    <xf numFmtId="0" fontId="3" fillId="4" borderId="1" xfId="0" applyFont="1" applyFill="1" applyBorder="1" applyAlignment="1">
      <alignment horizontal="center" vertical="center"/>
    </xf>
    <xf numFmtId="0" fontId="2" fillId="0" borderId="1" xfId="0" applyFont="1" applyBorder="1" applyAlignment="1">
      <alignment horizontal="center" vertical="center"/>
    </xf>
    <xf numFmtId="164" fontId="2" fillId="0" borderId="1" xfId="0" applyNumberFormat="1" applyFont="1" applyBorder="1" applyAlignment="1">
      <alignment horizontal="center" vertical="center"/>
    </xf>
    <xf numFmtId="0" fontId="4" fillId="5" borderId="1" xfId="0" applyFont="1" applyFill="1" applyBorder="1" applyAlignment="1">
      <alignment horizontal="center" vertical="center"/>
    </xf>
    <xf numFmtId="0" fontId="5" fillId="6" borderId="1" xfId="0" applyFont="1" applyFill="1" applyBorder="1" applyAlignment="1">
      <alignment horizontal="center" vertical="center"/>
    </xf>
    <xf numFmtId="165" fontId="2" fillId="3" borderId="1" xfId="0" applyNumberFormat="1" applyFont="1" applyFill="1" applyBorder="1" applyAlignment="1">
      <alignment horizontal="center" vertical="center"/>
    </xf>
    <xf numFmtId="165" fontId="2" fillId="0" borderId="1" xfId="0" applyNumberFormat="1" applyFont="1" applyBorder="1" applyAlignment="1">
      <alignment horizontal="center" vertical="center"/>
    </xf>
    <xf numFmtId="4" fontId="2" fillId="3" borderId="1" xfId="0" applyNumberFormat="1" applyFont="1" applyFill="1" applyBorder="1" applyAlignment="1">
      <alignment horizontal="center" vertical="center"/>
    </xf>
    <xf numFmtId="4" fontId="2" fillId="0" borderId="1" xfId="0" applyNumberFormat="1" applyFont="1" applyBorder="1" applyAlignment="1">
      <alignment horizontal="center" vertical="center"/>
    </xf>
    <xf numFmtId="0" fontId="1" fillId="2" borderId="3" xfId="0" applyFont="1" applyFill="1" applyBorder="1" applyAlignment="1">
      <alignment horizontal="center" vertical="center"/>
    </xf>
    <xf numFmtId="0" fontId="2" fillId="3" borderId="3" xfId="0" applyFont="1" applyFill="1" applyBorder="1" applyAlignment="1">
      <alignment horizontal="center" vertical="center"/>
    </xf>
    <xf numFmtId="0" fontId="2" fillId="0" borderId="3" xfId="0" applyFont="1" applyBorder="1" applyAlignment="1">
      <alignment horizontal="center" vertical="center"/>
    </xf>
    <xf numFmtId="0" fontId="6" fillId="2" borderId="2" xfId="0" applyFont="1" applyFill="1" applyBorder="1" applyAlignment="1">
      <alignment horizontal="center" vertical="center"/>
    </xf>
    <xf numFmtId="0" fontId="0" fillId="0" borderId="0" xfId="0" pivotButton="1"/>
    <xf numFmtId="0" fontId="0" fillId="0" borderId="0" xfId="0" applyAlignment="1">
      <alignment horizontal="left"/>
    </xf>
    <xf numFmtId="14" fontId="1" fillId="2" borderId="1" xfId="0" applyNumberFormat="1" applyFont="1" applyFill="1" applyBorder="1" applyAlignment="1">
      <alignment horizontal="center" vertical="center"/>
    </xf>
    <xf numFmtId="14" fontId="2" fillId="3" borderId="1" xfId="0" applyNumberFormat="1" applyFont="1" applyFill="1" applyBorder="1" applyAlignment="1">
      <alignment horizontal="center" vertical="center"/>
    </xf>
    <xf numFmtId="14" fontId="2" fillId="0" borderId="1" xfId="0" applyNumberFormat="1" applyFont="1" applyBorder="1" applyAlignment="1">
      <alignment horizontal="center" vertical="center"/>
    </xf>
    <xf numFmtId="14" fontId="0" fillId="0" borderId="0" xfId="0" applyNumberFormat="1"/>
  </cellXfs>
  <cellStyles count="1">
    <cellStyle name="Normal" xfId="0" builtinId="0"/>
  </cellStyles>
  <dxfs count="17">
    <dxf>
      <font>
        <color rgb="FF9C0006"/>
      </font>
      <fill>
        <patternFill>
          <bgColor rgb="FFFFC7CE"/>
        </patternFill>
      </fill>
    </dxf>
    <dxf>
      <font>
        <color rgb="FFC00000"/>
      </font>
    </dxf>
    <dxf>
      <font>
        <color rgb="FFC00000"/>
      </font>
    </dxf>
    <dxf>
      <font>
        <color rgb="FFC00000"/>
      </font>
    </dxf>
    <dxf>
      <font>
        <color rgb="FF9C0006"/>
      </font>
      <fill>
        <patternFill>
          <bgColor rgb="FFFFC7CE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rgb="FF7D5A00"/>
        <name val="Arial"/>
        <charset val="1"/>
        <scheme val="none"/>
      </font>
      <fill>
        <patternFill patternType="solid">
          <fgColor rgb="FFFFCCCC"/>
          <bgColor rgb="FFFFE699"/>
        </patternFill>
      </fill>
      <alignment horizontal="center" vertical="center" textRotation="0" wrapText="0" indent="0" justifyLastLine="0" shrinkToFit="0" readingOrder="0"/>
      <border diagonalUp="0" diagonalDown="0">
        <left style="thin">
          <color rgb="FFBFBFBF"/>
        </left>
        <right style="thin">
          <color rgb="FFBFBFBF"/>
        </right>
        <top style="thin">
          <color rgb="FFBFBFBF"/>
        </top>
        <bottom style="thin">
          <color rgb="FFBFBFBF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auto="1"/>
        <name val="Arial"/>
        <charset val="1"/>
        <scheme val="none"/>
      </font>
      <alignment horizontal="center" vertical="center" textRotation="0" wrapText="0" indent="0" justifyLastLine="0" shrinkToFit="0" readingOrder="0"/>
      <border diagonalUp="0" diagonalDown="0">
        <left style="thin">
          <color rgb="FFBFBFBF"/>
        </left>
        <right style="thin">
          <color rgb="FFBFBFBF"/>
        </right>
        <top style="thin">
          <color rgb="FFBFBFBF"/>
        </top>
        <bottom style="thin">
          <color rgb="FFBFBFBF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auto="1"/>
        <name val="Arial"/>
        <charset val="1"/>
        <scheme val="none"/>
      </font>
      <alignment horizontal="center" vertical="center" textRotation="0" wrapText="0" indent="0" justifyLastLine="0" shrinkToFit="0" readingOrder="0"/>
      <border diagonalUp="0" diagonalDown="0">
        <left style="thin">
          <color rgb="FFBFBFBF"/>
        </left>
        <right style="thin">
          <color rgb="FFBFBFBF"/>
        </right>
        <top style="thin">
          <color rgb="FFBFBFBF"/>
        </top>
        <bottom style="thin">
          <color rgb="FFBFBFBF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auto="1"/>
        <name val="Arial"/>
        <charset val="1"/>
        <scheme val="none"/>
      </font>
      <numFmt numFmtId="19" formatCode="dd/mm/yyyy"/>
      <alignment horizontal="center" vertical="center" textRotation="0" wrapText="0" indent="0" justifyLastLine="0" shrinkToFit="0" readingOrder="0"/>
      <border diagonalUp="0" diagonalDown="0" outline="0">
        <left style="thin">
          <color rgb="FFBFBFBF"/>
        </left>
        <right style="thin">
          <color rgb="FFBFBFBF"/>
        </right>
        <top style="thin">
          <color rgb="FFBFBFBF"/>
        </top>
        <bottom style="thin">
          <color rgb="FFBFBFBF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auto="1"/>
        <name val="Arial"/>
        <charset val="1"/>
        <scheme val="none"/>
      </font>
      <numFmt numFmtId="19" formatCode="dd/mm/yyyy"/>
      <alignment horizontal="center" vertical="center" textRotation="0" wrapText="0" indent="0" justifyLastLine="0" shrinkToFit="0" readingOrder="0"/>
      <border diagonalUp="0" diagonalDown="0" outline="0">
        <left style="thin">
          <color rgb="FFBFBFBF"/>
        </left>
        <right style="thin">
          <color rgb="FFBFBFBF"/>
        </right>
        <top style="thin">
          <color rgb="FFBFBFBF"/>
        </top>
        <bottom style="thin">
          <color rgb="FFBFBFBF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auto="1"/>
        <name val="Arial"/>
        <charset val="1"/>
        <scheme val="none"/>
      </font>
      <numFmt numFmtId="164" formatCode="yyyy\-mm\-dd"/>
      <alignment horizontal="center" vertical="center" textRotation="0" wrapText="0" indent="0" justifyLastLine="0" shrinkToFit="0" readingOrder="0"/>
      <border diagonalUp="0" diagonalDown="0">
        <left style="thin">
          <color rgb="FFBFBFBF"/>
        </left>
        <right style="thin">
          <color rgb="FFBFBFBF"/>
        </right>
        <top style="thin">
          <color rgb="FFBFBFBF"/>
        </top>
        <bottom style="thin">
          <color rgb="FFBFBFBF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auto="1"/>
        <name val="Arial"/>
        <charset val="1"/>
        <scheme val="none"/>
      </font>
      <alignment horizontal="center" vertical="center" textRotation="0" wrapText="0" indent="0" justifyLastLine="0" shrinkToFit="0" readingOrder="0"/>
      <border diagonalUp="0" diagonalDown="0">
        <left style="thin">
          <color rgb="FFBFBFBF"/>
        </left>
        <right style="thin">
          <color rgb="FFBFBFBF"/>
        </right>
        <top style="thin">
          <color rgb="FFBFBFBF"/>
        </top>
        <bottom style="thin">
          <color rgb="FFBFBFBF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auto="1"/>
        <name val="Arial"/>
        <charset val="1"/>
        <scheme val="none"/>
      </font>
      <alignment horizontal="center" vertical="center" textRotation="0" wrapText="0" indent="0" justifyLastLine="0" shrinkToFit="0" readingOrder="0"/>
      <border diagonalUp="0" diagonalDown="0">
        <left style="thin">
          <color rgb="FFBFBFBF"/>
        </left>
        <right style="thin">
          <color rgb="FFBFBFBF"/>
        </right>
        <top style="thin">
          <color rgb="FFBFBFBF"/>
        </top>
        <bottom style="thin">
          <color rgb="FFBFBFBF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auto="1"/>
        <name val="Arial"/>
        <charset val="1"/>
        <scheme val="none"/>
      </font>
      <alignment horizontal="center" vertical="center" textRotation="0" wrapText="0" indent="0" justifyLastLine="0" shrinkToFit="0" readingOrder="0"/>
      <border diagonalUp="0" diagonalDown="0">
        <left style="thin">
          <color rgb="FFBFBFBF"/>
        </left>
        <right style="thin">
          <color rgb="FFBFBFBF"/>
        </right>
        <top style="thin">
          <color rgb="FFBFBFBF"/>
        </top>
        <bottom style="thin">
          <color rgb="FFBFBFBF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auto="1"/>
        <name val="Arial"/>
        <charset val="1"/>
        <scheme val="none"/>
      </font>
      <alignment horizontal="center" vertical="center" textRotation="0" wrapText="0" indent="0" justifyLastLine="0" shrinkToFit="0" readingOrder="0"/>
      <border diagonalUp="0" diagonalDown="0">
        <left/>
        <right style="thin">
          <color rgb="FFBFBFBF"/>
        </right>
        <top style="thin">
          <color rgb="FFBFBFBF"/>
        </top>
        <bottom style="thin">
          <color rgb="FFBFBFBF"/>
        </bottom>
        <vertical/>
        <horizontal/>
      </border>
    </dxf>
    <dxf>
      <border outline="0">
        <left style="thin">
          <color rgb="FFBFBFBF"/>
        </left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rgb="FFFFFFFF"/>
        <name val="Arial"/>
        <charset val="1"/>
        <scheme val="none"/>
      </font>
      <fill>
        <patternFill patternType="solid">
          <fgColor rgb="FF003366"/>
          <bgColor rgb="FF1F4E79"/>
        </patternFill>
      </fill>
      <alignment horizontal="center" vertical="center" textRotation="0" wrapText="0" indent="0" justifyLastLine="0" shrinkToFit="0" readingOrder="0"/>
      <border diagonalUp="0" diagonalDown="0" outline="0">
        <left style="thin">
          <color rgb="FFBFBFBF"/>
        </left>
        <right style="thin">
          <color rgb="FFBFBFBF"/>
        </right>
        <top/>
        <bottom/>
      </border>
    </dxf>
  </dxfs>
  <tableStyles count="0" defaultTableStyle="TableStyleMedium2" defaultPivotStyle="PivotStyleLight16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9C0006"/>
      <rgbColor rgb="FF276221"/>
      <rgbColor rgb="FF000080"/>
      <rgbColor rgb="FF7D5A00"/>
      <rgbColor rgb="FF800080"/>
      <rgbColor rgb="FF008080"/>
      <rgbColor rgb="FFBFBFBF"/>
      <rgbColor rgb="FF808080"/>
      <rgbColor rgb="FF9999FF"/>
      <rgbColor rgb="FF993366"/>
      <rgbColor rgb="FFE2EFDA"/>
      <rgbColor rgb="FFCCFFFF"/>
      <rgbColor rgb="FF660066"/>
      <rgbColor rgb="FFFF8080"/>
      <rgbColor rgb="FF0066CC"/>
      <rgbColor rgb="FFD6E4F0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6EFCE"/>
      <rgbColor rgb="FFFFE699"/>
      <rgbColor rgb="FF99CCFF"/>
      <rgbColor rgb="FFFF99CC"/>
      <rgbColor rgb="FFCC99FF"/>
      <rgbColor rgb="FFFFCCCC"/>
      <rgbColor rgb="FF3366FF"/>
      <rgbColor rgb="FF33CCCC"/>
      <rgbColor rgb="FF99CC00"/>
      <rgbColor rgb="FFFFCC00"/>
      <rgbColor rgb="FFFF9900"/>
      <rgbColor rgb="FFFF6600"/>
      <rgbColor rgb="FF595959"/>
      <rgbColor rgb="FF969696"/>
      <rgbColor rgb="FF003366"/>
      <rgbColor rgb="FF339966"/>
      <rgbColor rgb="FF003300"/>
      <rgbColor rgb="FF333300"/>
      <rgbColor rgb="FF993300"/>
      <rgbColor rgb="FF993366"/>
      <rgbColor rgb="FF1F4E79"/>
      <rgbColor rgb="FF333333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pivotCacheDefinition" Target="pivotCache/pivotCacheDefinition1.xml"/><Relationship Id="rId13" Type="http://schemas.openxmlformats.org/officeDocument/2006/relationships/sheetMetadata" Target="metadata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tyles" Target="styles.xml"/><Relationship Id="rId5" Type="http://schemas.openxmlformats.org/officeDocument/2006/relationships/worksheet" Target="worksheets/sheet5.xml"/><Relationship Id="rId15" Type="http://schemas.openxmlformats.org/officeDocument/2006/relationships/calcChain" Target="calcChain.xml"/><Relationship Id="rId10" Type="http://schemas.openxmlformats.org/officeDocument/2006/relationships/connections" Target="connections.xml"/><Relationship Id="rId4" Type="http://schemas.openxmlformats.org/officeDocument/2006/relationships/worksheet" Target="worksheets/sheet4.xml"/><Relationship Id="rId9" Type="http://schemas.openxmlformats.org/officeDocument/2006/relationships/theme" Target="theme/theme1.xml"/><Relationship Id="rId14" Type="http://schemas.openxmlformats.org/officeDocument/2006/relationships/powerPivotData" Target="model/item.data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1057275</xdr:colOff>
      <xdr:row>0</xdr:row>
      <xdr:rowOff>142875</xdr:rowOff>
    </xdr:from>
    <xdr:ext cx="13944600" cy="405432"/>
    <xdr:sp macro="" textlink="">
      <xdr:nvSpPr>
        <xdr:cNvPr id="2" name="TextBox 1">
          <a:extLst>
            <a:ext uri="{FF2B5EF4-FFF2-40B4-BE49-F238E27FC236}">
              <a16:creationId xmlns:a16="http://schemas.microsoft.com/office/drawing/2014/main" id="{14E63ED7-BB16-48F7-3376-002470933675}"/>
            </a:ext>
          </a:extLst>
        </xdr:cNvPr>
        <xdr:cNvSpPr txBox="1"/>
      </xdr:nvSpPr>
      <xdr:spPr>
        <a:xfrm>
          <a:off x="1057275" y="142875"/>
          <a:ext cx="13944600" cy="405432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square" rtlCol="0" anchor="t">
          <a:spAutoFit/>
        </a:bodyPr>
        <a:lstStyle/>
        <a:p>
          <a:r>
            <a:rPr lang="en-IN" sz="2000"/>
            <a:t>S&amp;OP Performance KPI Summary  |  Jul–Dec 2024</a:t>
          </a:r>
        </a:p>
      </xdr:txBody>
    </xdr:sp>
    <xdr:clientData/>
  </xdr:oneCellAnchor>
</xdr:wsDr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Rishi chandran" refreshedDate="46127.878703240742" createdVersion="8" refreshedVersion="8" minRefreshableVersion="3" recordCount="640" xr:uid="{FB5FCEFE-D342-4387-9320-1CC5D4D84AAD}">
  <cacheSource type="worksheet">
    <worksheetSource name="Table1"/>
  </cacheSource>
  <cacheFields count="15">
    <cacheField name="Order ID" numFmtId="0">
      <sharedItems/>
    </cacheField>
    <cacheField name="SKU ID" numFmtId="0">
      <sharedItems count="8">
        <s v="SKU001"/>
        <s v="SKU002"/>
        <s v="SKU004"/>
        <s v="SKU007"/>
        <s v="SKU006"/>
        <s v="SKU003"/>
        <s v="SKU005"/>
        <s v="SKU008"/>
      </sharedItems>
    </cacheField>
    <cacheField name="Supplier ID" numFmtId="0">
      <sharedItems count="5">
        <s v="SUP003"/>
        <s v="SUP005"/>
        <s v="SUP001"/>
        <s v="SUP002"/>
        <s v="SUP004"/>
      </sharedItems>
    </cacheField>
    <cacheField name="Region" numFmtId="0">
      <sharedItems/>
    </cacheField>
    <cacheField name="Order Date" numFmtId="164">
      <sharedItems containsSemiMixedTypes="0" containsNonDate="0" containsDate="1" containsString="0" minDate="2024-07-01T00:00:00" maxDate="2024-12-29T00:00:00"/>
    </cacheField>
    <cacheField name="Promised Delivery" numFmtId="14">
      <sharedItems containsSemiMixedTypes="0" containsNonDate="0" containsDate="1" containsString="0" minDate="2024-07-07T00:00:00" maxDate="2025-01-19T00:00:00"/>
    </cacheField>
    <cacheField name="Actual Delivery" numFmtId="14">
      <sharedItems containsSemiMixedTypes="0" containsNonDate="0" containsDate="1" containsString="0" minDate="2024-07-05T00:00:00" maxDate="2025-01-24T00:00:00"/>
    </cacheField>
    <cacheField name="Ordered Qty" numFmtId="0">
      <sharedItems containsSemiMixedTypes="0" containsString="0" containsNumber="1" containsInteger="1" minValue="200" maxValue="1998"/>
    </cacheField>
    <cacheField name="Delivered Qty" numFmtId="0">
      <sharedItems containsSemiMixedTypes="0" containsString="0" containsNumber="1" containsInteger="1" minValue="192" maxValue="1996"/>
    </cacheField>
    <cacheField name="Status" numFmtId="0">
      <sharedItems/>
    </cacheField>
    <cacheField name="FillRate" numFmtId="0">
      <sharedItems containsSemiMixedTypes="0" containsString="0" containsNumber="1" minValue="0.78125" maxValue="0.99949924887330999" count="635">
        <n v="0.97610722610722611"/>
        <n v="0.91166936790923825"/>
        <n v="0.98004561003420754"/>
        <n v="0.90709046454767728"/>
        <n v="0.89736842105263159"/>
        <n v="0.90350877192982459"/>
        <n v="0.9440832249674902"/>
        <n v="0.96435272045028142"/>
        <n v="0.95525170913610935"/>
        <n v="0.9064171122994652"/>
        <n v="0.97446808510638294"/>
        <n v="0.94931617055510864"/>
        <n v="0.79380717804363121"/>
        <n v="0.97175141242937857"/>
        <n v="0.98748510131108458"/>
        <n v="0.9635985439417577"/>
        <n v="0.95522388059701491"/>
        <n v="0.95645645645645649"/>
        <n v="0.8071266968325792"/>
        <n v="0.97250859106529208"/>
        <n v="0.91192170818505336"/>
        <n v="0.96811594202898554"/>
        <n v="0.925974025974026"/>
        <n v="0.94063680518078796"/>
        <n v="0.9258064516129032"/>
        <n v="0.82087447108603662"/>
        <n v="0.98012646793134595"/>
        <n v="0.8270042194092827"/>
        <n v="0.97839335180055398"/>
        <n v="0.97330447330447334"/>
        <n v="0.79118773946360155"/>
        <n v="0.80604288499025345"/>
        <n v="0.95210022107590275"/>
        <n v="0.92965154503616043"/>
        <n v="0.9263754045307443"/>
        <n v="0.92987804878048785"/>
        <n v="0.80431848852901489"/>
        <n v="0.82372505543237251"/>
        <n v="0.92729188619599578"/>
        <n v="0.93453724604966137"/>
        <n v="0.90086206896551724"/>
        <n v="0.92060085836909866"/>
        <n v="0.98538011695906436"/>
        <n v="0.96688382193268185"/>
        <n v="0.94688457609805921"/>
        <n v="0.93949579831932772"/>
        <n v="0.99316628701594534"/>
        <n v="0.85583103764921942"/>
        <n v="0.89935956084172008"/>
        <n v="0.91219008264462809"/>
        <n v="0.95527950310559007"/>
        <n v="0.95441319107662459"/>
        <n v="0.85064935064935066"/>
        <n v="0.96526508226691043"/>
        <n v="0.91950297136682879"/>
        <n v="0.82220609579100146"/>
        <n v="0.98560736902705814"/>
        <n v="0.80640165203923597"/>
        <n v="0.94241686942416869"/>
        <n v="0.97653194263363752"/>
        <n v="0.93253968253968256"/>
        <n v="0.7931034482758621"/>
        <n v="0.98996990972918752"/>
        <n v="0.86574870912220314"/>
        <n v="0.93822393822393824"/>
        <n v="0.96605166051660518"/>
        <n v="0.85143442622950816"/>
        <n v="0.98324022346368711"/>
        <n v="0.97517730496453903"/>
        <n v="0.91088478676002549"/>
        <n v="0.97169266320046221"/>
        <n v="0.99054820415879019"/>
        <n v="0.96805770221535292"/>
        <n v="0.92233009708737868"/>
        <n v="0.81310679611650483"/>
        <n v="0.92639773531493275"/>
        <n v="0.96618357487922701"/>
        <n v="0.97948164146868255"/>
        <n v="0.92266666666666663"/>
        <n v="0.9785138764547896"/>
        <n v="0.88376963350785342"/>
        <n v="0.9107142857142857"/>
        <n v="0.92695214105793455"/>
        <n v="0.9692982456140351"/>
        <n v="0.98671978751660028"/>
        <n v="0.91750278706800448"/>
        <n v="0.91817523533671253"/>
        <n v="0.90271493212669685"/>
        <n v="0.98514851485148514"/>
        <n v="0.92099932478055369"/>
        <n v="0.93137254901960786"/>
        <n v="0.94489795918367347"/>
        <n v="0.99009900990099009"/>
        <n v="0.94310998735777496"/>
        <n v="0.98576512455516019"/>
        <n v="0.98587866108786615"/>
        <n v="0.98099547511312213"/>
        <n v="0.94078947368421051"/>
        <n v="0.99421593830334187"/>
        <n v="0.89294774226281071"/>
        <n v="0.94576271186440675"/>
        <n v="0.94846625766871162"/>
        <n v="0.86927122464312545"/>
        <n v="0.89084065244667499"/>
        <n v="0.91878172588832485"/>
        <n v="0.98125836680053546"/>
        <n v="0.93267108167770418"/>
        <n v="0.93800145878920493"/>
        <n v="0.99797979797979797"/>
        <n v="0.95049504950495045"/>
        <n v="0.96192609182530797"/>
        <n v="0.95367573011077544"/>
        <n v="0.91918042117245302"/>
        <n v="0.95486111111111116"/>
        <n v="0.96762325239146429"/>
        <n v="0.99097621000820346"/>
        <n v="0.98630136986301364"/>
        <n v="0.96305418719211822"/>
        <n v="0.9481253210066769"/>
        <n v="0.99590163934426235"/>
        <n v="0.98274445357436324"/>
        <n v="0.97195191757298227"/>
        <n v="0.91288993525603301"/>
        <n v="0.99699097291875627"/>
        <n v="0.98668981481481477"/>
        <n v="0.99557242251739408"/>
        <n v="0.96645702306079662"/>
        <n v="0.90214592274678107"/>
        <n v="0.92966360856269115"/>
        <n v="0.90846681922196793"/>
        <n v="0.98837209302325579"/>
        <n v="0.87725631768953072"/>
        <n v="0.90578158458244107"/>
        <n v="0.96367239101717306"/>
        <n v="0.96176470588235297"/>
        <n v="0.98953168044077133"/>
        <n v="0.97037990985189959"/>
        <n v="0.92625899280575541"/>
        <n v="0.95923261390887293"/>
        <n v="0.92975532754538281"/>
        <n v="0.93604651162790697"/>
        <n v="0.96278755074424893"/>
        <n v="0.9838709677419355"/>
        <n v="0.94094488188976377"/>
        <n v="0.98256537982565384"/>
        <n v="0.95846313603322952"/>
        <n v="0.87269585253456217"/>
        <n v="0.92441860465116277"/>
        <n v="0.92218181818181821"/>
        <n v="0.97620500305064062"/>
        <n v="0.91228070175438591"/>
        <n v="0.84848484848484851"/>
        <n v="0.96677740863787376"/>
        <n v="0.95074455899198163"/>
        <n v="0.92150170648464169"/>
        <n v="0.85101010101010099"/>
        <n v="0.88971684053651268"/>
        <n v="0.98607242339832868"/>
        <n v="0.99586776859504134"/>
        <n v="0.94269340974212035"/>
        <n v="0.9773242630385488"/>
        <n v="0.93906420021762782"/>
        <n v="0.97465886939571145"/>
        <n v="0.91952506596306072"/>
        <n v="0.97926829268292681"/>
        <n v="0.96230366492146602"/>
        <n v="0.82138200782268578"/>
        <n v="0.90794223826714804"/>
        <n v="0.96062992125984248"/>
        <n v="0.90519662921348309"/>
        <n v="0.96553497942386834"/>
        <n v="0.96953985742060922"/>
        <n v="0.9126005361930295"/>
        <n v="0.98776418242491659"/>
        <n v="0.97659402744148505"/>
        <n v="0.93217665615141954"/>
        <n v="0.96032461677186653"/>
        <n v="0.96747114375655818"/>
        <n v="0.98116760828625238"/>
        <n v="0.97073170731707314"/>
        <n v="0.96207584830339321"/>
        <n v="0.8615635179153095"/>
        <n v="0.97132429614181437"/>
        <n v="0.98276923076923073"/>
        <n v="0.99395313681027964"/>
        <n v="0.96317280453257792"/>
        <n v="0.95113788487282458"/>
        <n v="0.94152046783625731"/>
        <n v="0.91695501730103801"/>
        <n v="0.96245954692556634"/>
        <n v="0.97789473684210526"/>
        <n v="0.92727272727272725"/>
        <n v="0.83490162532078704"/>
        <n v="0.91172595520421607"/>
        <n v="0.99664429530201337"/>
        <n v="0.90739008419083256"/>
        <n v="0.93043478260869561"/>
        <n v="0.99931459904043862"/>
        <n v="0.91577624135763669"/>
        <n v="0.85894736842105268"/>
        <n v="0.94770063119927861"/>
        <n v="0.90046296296296291"/>
        <n v="0.94454600853138326"/>
        <n v="0.98915009041591317"/>
        <n v="0.92900763358778626"/>
        <n v="0.97872340425531912"/>
        <n v="0.95913978494623653"/>
        <n v="0.90615058324496289"/>
        <n v="0.98701298701298701"/>
        <n v="0.92982456140350878"/>
        <n v="0.96345514950166111"/>
        <n v="0.99362606232294615"/>
        <n v="0.90437158469945356"/>
        <n v="0.92862566438876237"/>
        <n v="0.94090909090909092"/>
        <n v="0.97303634232121927"/>
        <n v="0.9241071428571429"/>
        <n v="0.85155412647374062"/>
        <n v="0.9022988505747126"/>
        <n v="0.9273927392739274"/>
        <n v="0.9399092970521542"/>
        <n v="0.94741532976827092"/>
        <n v="0.99329359165424735"/>
        <n v="0.93317278747742327"/>
        <n v="0.91549295774647887"/>
        <n v="0.98122866894197958"/>
        <n v="0.99667221297836939"/>
        <n v="0.82465923172242872"/>
        <n v="0.95250212044105176"/>
        <n v="0.98652442448062883"/>
        <n v="0.9939393939393939"/>
        <n v="0.92763157894736847"/>
        <n v="0.99229922992299235"/>
        <n v="0.92318840579710149"/>
        <n v="0.96790123456790123"/>
        <n v="0.99599542334096114"/>
        <n v="0.94086021505376349"/>
        <n v="0.99244712990936557"/>
        <n v="0.87979539641943738"/>
        <n v="0.97180451127819545"/>
        <n v="0.97533206831119545"/>
        <n v="0.96666666666666667"/>
        <n v="0.94428152492668627"/>
        <n v="0.9112954690491385"/>
        <n v="0.93656716417910446"/>
        <n v="0.94093264248704667"/>
        <n v="0.9783702213279678"/>
        <n v="0.91983805668016194"/>
        <n v="0.95803357314148685"/>
        <n v="0.88"/>
        <n v="0.95839112343966715"/>
        <n v="0.99923547400611623"/>
        <n v="0.99145860709592637"/>
        <n v="0.96398305084745761"/>
        <n v="0.98323170731707321"/>
        <n v="0.839458413926499"/>
        <n v="0.90886699507389157"/>
        <n v="0.92107279693486588"/>
        <n v="0.85021321961620466"/>
        <n v="0.98795180722891562"/>
        <n v="0.9140926640926641"/>
        <n v="0.97979797979797978"/>
        <n v="0.85227272727272729"/>
        <n v="0.97142857142857142"/>
        <n v="0.99512195121951219"/>
        <n v="0.93247126436781613"/>
        <n v="0.92539109506618533"/>
        <n v="0.95563139931740615"/>
        <n v="0.92228571428571426"/>
        <n v="0.91391941391941389"/>
        <n v="0.96640000000000004"/>
        <n v="0.86142983230361869"/>
        <n v="0.90088945362134687"/>
        <n v="0.92488262910798125"/>
        <n v="0.92900302114803623"/>
        <n v="0.91719745222929938"/>
        <n v="0.99705449189985274"/>
        <n v="0.88455882352941173"/>
        <n v="0.99137931034482762"/>
        <n v="0.93267023718439168"/>
        <n v="0.95986622073578598"/>
        <n v="0.91789667896678961"/>
        <n v="0.91443850267379678"/>
        <n v="0.92666287663445135"/>
        <n v="0.91014492753623188"/>
        <n v="0.97802850356294535"/>
        <n v="0.92647058823529416"/>
        <n v="0.90732519422863489"/>
        <n v="0.90036452004860268"/>
        <n v="0.91319689484827105"/>
        <n v="0.92848769050410318"/>
        <n v="0.91129883843716997"/>
        <n v="0.92060606060606065"/>
        <n v="0.92517985611510789"/>
        <n v="0.95359848484848486"/>
        <n v="0.96296296296296291"/>
        <n v="0.78125"/>
        <n v="0.96868327402135235"/>
        <n v="0.99369085173501581"/>
        <n v="0.97174111212397452"/>
        <n v="0.97982345523329129"/>
        <n v="0.92233856893542754"/>
        <n v="0.98764584763212082"/>
        <n v="0.97402597402597402"/>
        <n v="0.80474934036939316"/>
        <n v="0.93302540415704383"/>
        <n v="0.9651474530831099"/>
        <n v="0.95092024539877296"/>
        <n v="0.95336442371752161"/>
        <n v="0.94490644490644493"/>
        <n v="0.88874430709173713"/>
        <n v="0.90225563909774431"/>
        <n v="0.95094339622641511"/>
        <n v="0.96250732278851792"/>
        <n v="0.986351228389445"/>
        <n v="0.87357859531772575"/>
        <n v="0.95870967741935487"/>
        <n v="0.99688473520249221"/>
        <n v="0.94820717131474108"/>
        <n v="0.93687374749498997"/>
        <n v="0.95297977036632042"/>
        <n v="0.95503211991434689"/>
        <n v="0.94560290117860379"/>
        <n v="0.96419437340153458"/>
        <n v="0.97212121212121216"/>
        <n v="0.95173453996983404"/>
        <n v="0.91301665638494756"/>
        <n v="0.80911330049261088"/>
        <n v="0.93460490463215262"/>
        <n v="0.9135802469135802"/>
        <n v="0.8401697312588402"/>
        <n v="0.84596086302057205"/>
        <n v="0.95883134130146086"/>
        <n v="0.79572312886888008"/>
        <n v="0.84236054971705743"/>
        <n v="0.91531823085221142"/>
        <n v="0.94508009153318073"/>
        <n v="0.89378442171518491"/>
        <n v="0.98988195615514329"/>
        <n v="0.94490131578947367"/>
        <n v="0.91026360067302303"/>
        <n v="0.86349206349206353"/>
        <n v="0.9914448669201521"/>
        <n v="0.98021308980213084"/>
        <n v="0.82408376963350782"/>
        <n v="0.97755331088664421"/>
        <n v="0.98335552596537945"/>
        <n v="0.88762983947119922"/>
        <n v="0.93397129186602867"/>
        <n v="0.9060205580029369"/>
        <n v="0.98287461773700302"/>
        <n v="0.91489361702127658"/>
        <n v="0.93066666666666664"/>
        <n v="0.90383275261324036"/>
        <n v="0.90487609912070344"/>
        <n v="0.91012216404886559"/>
        <n v="0.96777546777546775"/>
        <n v="0.97847682119205293"/>
        <n v="0.91419141914191415"/>
        <n v="0.92791612057667106"/>
        <n v="0.9060118543607113"/>
        <n v="0.97761953204476093"/>
        <n v="0.90277777777777779"/>
        <n v="0.90874524714828897"/>
        <n v="0.92321428571428577"/>
        <n v="0.93053435114503813"/>
        <n v="0.94757433489827858"/>
        <n v="0.984264785675529"/>
        <n v="0.93628950050968396"/>
        <n v="0.98822836962919369"/>
        <n v="0.97222222222222221"/>
        <n v="0.98501498501498497"/>
        <n v="0.81085526315789469"/>
        <n v="0.93570669500531345"/>
        <n v="0.89970149253731346"/>
        <n v="0.98280098280098283"/>
        <n v="0.99455040871934608"/>
        <n v="0.91031390134529144"/>
        <n v="0.90403071017274472"/>
        <n v="0.90816326530612246"/>
        <n v="0.9287598944591029"/>
        <n v="0.94550408719346046"/>
        <n v="0.97393117831074039"/>
        <n v="0.98340874811463042"/>
        <n v="0.90966266437964549"/>
        <n v="0.88929889298892983"/>
        <n v="0.90393013100436681"/>
        <n v="0.86507936507936511"/>
        <n v="0.96961325966850831"/>
        <n v="0.99600684540787221"/>
        <n v="0.87030545818728089"/>
        <n v="0.94012345679012344"/>
        <n v="0.92703349282296654"/>
        <n v="0.98207282913165261"/>
        <n v="0.95156695156695159"/>
        <n v="0.97693920335429774"/>
        <n v="0.88014981273408244"/>
        <n v="0.9668874172185431"/>
        <n v="0.93340611353711789"/>
        <n v="0.99610461880912637"/>
        <n v="0.94495412844036697"/>
        <n v="0.9963833634719711"/>
        <n v="0.9818325434439179"/>
        <n v="0.92812715964063575"/>
        <n v="0.84550195567144715"/>
        <n v="0.9711934156378601"/>
        <n v="0.91876002137894175"/>
        <n v="0.96564289432587191"/>
        <n v="0.98994974874371855"/>
        <n v="0.8366285119667014"/>
        <n v="0.96761133603238869"/>
        <n v="0.91380826737027265"/>
        <n v="0.9425837320574163"/>
        <n v="0.94255177020708081"/>
        <n v="0.98285714285714287"/>
        <n v="0.91179976162097731"/>
        <n v="0.94465408805031448"/>
        <n v="0.92050209205020916"/>
        <n v="0.97911227154046998"/>
        <n v="0.94050343249427915"/>
        <n v="0.90067114093959733"/>
        <n v="0.93744987971130711"/>
        <n v="0.95073891625615758"/>
        <n v="0.96799999999999997"/>
        <n v="0.95706806282722512"/>
        <n v="0.96408839779005528"/>
        <n v="0.9035175879396985"/>
        <n v="0.9817351598173516"/>
        <n v="0.98130841121495327"/>
        <n v="0.98449131513647647"/>
        <n v="0.93932038834951459"/>
        <n v="0.98455598455598459"/>
        <n v="0.96462585034013604"/>
        <n v="0.9155446756425949"/>
        <n v="0.90515463917525774"/>
        <n v="0.9487917146144994"/>
        <n v="0.98146341463414632"/>
        <n v="0.84932735426008965"/>
        <n v="0.98"/>
        <n v="0.90529100529100526"/>
        <n v="0.94477791116446574"/>
        <n v="0.89477668433005297"/>
        <n v="0.87000596302921884"/>
        <n v="0.9453978159126365"/>
        <n v="0.9671018276762402"/>
        <n v="0.94167962674961114"/>
        <n v="0.98113207547169812"/>
        <n v="0.94746600741656362"/>
        <n v="0.95980861244019133"/>
        <n v="0.92904389657245945"/>
        <n v="0.94744633604737227"/>
        <n v="0.90191387559808611"/>
        <n v="0.96819338422391854"/>
        <n v="0.96088019559902205"/>
        <n v="0.93781855249745161"/>
        <n v="0.92206424433912582"/>
        <n v="0.90738423028785986"/>
        <n v="0.90506329113924056"/>
        <n v="0.90679304897314372"/>
        <n v="0.93260590500641849"/>
        <n v="0.96543778801843316"/>
        <n v="0.92525252525252522"/>
        <n v="0.91916558018252936"/>
        <n v="0.91793893129770987"/>
        <n v="0.96818970503181034"/>
        <n v="0.83515881708652795"/>
        <n v="0.8745136186770428"/>
        <n v="0.94528875379939215"/>
        <n v="0.91309669522643822"/>
        <n v="0.91230769230769226"/>
        <n v="0.9370904325032765"/>
        <n v="0.89771598808341613"/>
        <n v="0.89243437982501284"/>
        <n v="0.9796696315120712"/>
        <n v="0.80084151472650766"/>
        <n v="0.98830409356725146"/>
        <n v="0.95655375552282773"/>
        <n v="0.97346200241254521"/>
        <n v="0.93525179856115104"/>
        <n v="0.91941673062164231"/>
        <n v="0.94849368318756078"/>
        <n v="0.9388830347734457"/>
        <n v="0.96380090497737558"/>
        <n v="0.98709677419354835"/>
        <n v="0.92378048780487809"/>
        <n v="0.90169491525423728"/>
        <n v="0.93705035971223016"/>
        <n v="0.94033412887828161"/>
        <n v="0.91636363636363638"/>
        <n v="0.93715083798882681"/>
        <n v="0.88495575221238942"/>
        <n v="0.95661605206073752"/>
        <n v="0.95070422535211263"/>
        <n v="0.95978552278820373"/>
        <n v="0.97659574468085109"/>
        <n v="0.91063829787234041"/>
        <n v="0.989778534923339"/>
        <n v="0.96165644171779141"/>
        <n v="0.99252615844544101"/>
        <n v="0.97621070518266784"/>
        <n v="0.78138766519823788"/>
        <n v="0.8592092574734812"/>
        <n v="0.99869109947643975"/>
        <n v="0.94835329341317365"/>
        <n v="0.97291196388261847"/>
        <n v="0.96911461908030194"/>
        <n v="0.98283261802575106"/>
        <n v="0.97111913357400725"/>
        <n v="0.94904037061548641"/>
        <n v="0.93312101910828027"/>
        <n v="0.97777777777777775"/>
        <n v="0.90676416819012795"/>
        <n v="0.91251885369532426"/>
        <n v="0.91019417475728159"/>
        <n v="0.89819458375125372"/>
        <n v="0.94574944071588363"/>
        <n v="0.978623914495658"/>
        <n v="0.93106382978723401"/>
        <n v="0.97352941176470587"/>
        <n v="0.97687861271676302"/>
        <n v="0.965034965034965"/>
        <n v="0.93919793014230268"/>
        <n v="0.96839959225280325"/>
        <n v="0.9642857142857143"/>
        <n v="0.95368782161234988"/>
        <n v="0.92041198501872656"/>
        <n v="0.96809282088469906"/>
        <n v="0.95582329317269077"/>
        <n v="0.95310015898251188"/>
        <n v="0.9044943820224719"/>
        <n v="0.95545657015590202"/>
        <n v="0.9194444444444444"/>
        <n v="0.93611111111111112"/>
        <n v="0.96237064910630288"/>
        <n v="0.92908262849707224"/>
        <n v="0.95840554592720972"/>
        <n v="0.92475884244372986"/>
        <n v="0.79138321995464855"/>
        <n v="0.9928617780661908"/>
        <n v="0.95085470085470081"/>
        <n v="0.9471813103098019"/>
        <n v="0.97453083109919569"/>
        <n v="0.93025362318840576"/>
        <n v="0.92809734513274333"/>
        <n v="0.83052039381153309"/>
        <n v="0.83432539682539686"/>
        <n v="0.97615262321144669"/>
        <n v="0.92693110647181631"/>
        <n v="0.90410958904109584"/>
        <n v="0.78152753108348139"/>
        <n v="0.95577667219458262"/>
        <n v="0.92356687898089174"/>
        <n v="0.93806727175654026"/>
        <n v="0.87973640856672153"/>
        <n v="0.81416957026713122"/>
        <n v="0.97441364605543712"/>
        <n v="0.92716319824753557"/>
        <n v="0.93094629156010233"/>
        <n v="0.93383356070941337"/>
        <n v="0.88621444201312916"/>
        <n v="0.9373060211049038"/>
        <n v="0.94898586355255066"/>
        <n v="0.95514780835881752"/>
        <n v="0.87907465825446895"/>
        <n v="0.9719626168224299"/>
        <n v="0.96342637151106836"/>
        <n v="0.80261011419249595"/>
        <n v="0.969532836831415"/>
        <n v="0.94876783398184172"/>
        <n v="0.95924764890282133"/>
        <n v="0.99532710280373837"/>
        <n v="0.83430420711974107"/>
        <n v="0.96677384780278675"/>
        <n v="0.96520763187429859"/>
        <n v="0.92517401392111365"/>
        <n v="0.91349206349206347"/>
        <n v="0.98202247191011238"/>
        <n v="0.92546583850931674"/>
        <n v="0.99120879120879124"/>
        <n v="0.9066503965832825"/>
        <n v="0.85320584926884135"/>
        <n v="0.95964125560538116"/>
        <n v="0.93083003952569165"/>
        <n v="0.921875"/>
        <n v="0.90440324449594434"/>
        <n v="0.91306818181818183"/>
        <n v="0.92458758837391986"/>
        <n v="0.86035613870665417"/>
        <n v="0.9606986899563319"/>
        <n v="0.96710526315789469"/>
        <n v="0.98605577689243029"/>
        <n v="0.93089430894308944"/>
        <n v="0.96980899568699941"/>
        <n v="0.93281938325991187"/>
        <n v="0.96556291390728477"/>
        <n v="0.99758259468170829"/>
        <n v="0.90325417766051008"/>
        <n v="0.81438515081206497"/>
        <n v="0.98036649214659688"/>
        <n v="0.96513944223107573"/>
        <n v="0.97973778307508941"/>
        <n v="0.92002176278563652"/>
        <n v="0.93116634799235176"/>
        <n v="0.99140401146131807"/>
        <n v="0.97233201581027673"/>
        <n v="0.90695187165775404"/>
        <n v="0.94693200663349919"/>
        <n v="0.99468085106382975"/>
        <n v="0.9615189873417721"/>
        <n v="0.98240469208211145"/>
        <n v="0.99949924887330999"/>
        <n v="0.98817733990147782"/>
        <n v="0.95164290142591446"/>
        <n v="0.95446153846153847"/>
        <n v="0.90932642487046633"/>
        <n v="0.99449415003441155"/>
        <n v="0.96572580645161288"/>
        <n v="0.97640117994100295"/>
        <n v="0.97627118644067801"/>
        <n v="0.97370242214532876"/>
        <n v="0.90062981105668305"/>
        <n v="0.90262582056892782"/>
        <n v="0.81415929203539827"/>
        <n v="0.92949802594472641"/>
        <n v="0.9461827284105131"/>
        <n v="0.9140127388535032"/>
        <n v="0.89466484268125857"/>
        <n v="0.92265193370165743"/>
        <n v="0.98479532163742689"/>
        <n v="0.90063091482649837"/>
        <n v="0.9321266968325792"/>
        <n v="0.96138996138996136"/>
        <n v="0.91327201051248352"/>
        <n v="0.95183246073298433"/>
        <n v="0.99402985074626871"/>
      </sharedItems>
    </cacheField>
    <cacheField name="std Lead time" numFmtId="0">
      <sharedItems containsSemiMixedTypes="0" containsString="0" containsNumber="1" containsInteger="1" minValue="5" maxValue="21"/>
    </cacheField>
    <cacheField name="LT Variance" numFmtId="0">
      <sharedItems containsSemiMixedTypes="0" containsString="0" containsNumber="1" containsInteger="1" minValue="-2" maxValue="15"/>
    </cacheField>
    <cacheField name="OTiF Flag" numFmtId="0">
      <sharedItems containsSemiMixedTypes="0" containsString="0" containsNumber="1" containsInteger="1" minValue="0" maxValue="1"/>
    </cacheField>
    <cacheField name="Categories" numFmtId="0">
      <sharedItems count="3">
        <s v="Packaging"/>
        <s v="Raw Material"/>
        <s v="Finished Goods"/>
      </sharedItems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640">
  <r>
    <s v="PO-1000"/>
    <x v="0"/>
    <x v="0"/>
    <s v="IN-North"/>
    <d v="2024-07-08T00:00:00"/>
    <d v="2024-07-26T00:00:00"/>
    <d v="2024-08-01T00:00:00"/>
    <n v="1716"/>
    <n v="1675"/>
    <s v="Delivered"/>
    <x v="0"/>
    <n v="18"/>
    <n v="6"/>
    <n v="0"/>
    <x v="0"/>
  </r>
  <r>
    <s v="PO-1001"/>
    <x v="1"/>
    <x v="1"/>
    <s v="APAC"/>
    <d v="2024-07-02T00:00:00"/>
    <d v="2024-07-08T00:00:00"/>
    <d v="2024-07-06T00:00:00"/>
    <n v="1234"/>
    <n v="1125"/>
    <s v="Delivered"/>
    <x v="1"/>
    <n v="6"/>
    <n v="-2"/>
    <n v="0"/>
    <x v="0"/>
  </r>
  <r>
    <s v="PO-1002"/>
    <x v="2"/>
    <x v="1"/>
    <s v="APAC"/>
    <d v="2024-07-08T00:00:00"/>
    <d v="2024-07-14T00:00:00"/>
    <d v="2024-07-12T00:00:00"/>
    <n v="1754"/>
    <n v="1719"/>
    <s v="Delivered"/>
    <x v="2"/>
    <n v="6"/>
    <n v="-2"/>
    <n v="1"/>
    <x v="1"/>
  </r>
  <r>
    <s v="PO-1003"/>
    <x v="3"/>
    <x v="0"/>
    <s v="IN-South"/>
    <d v="2024-07-05T00:00:00"/>
    <d v="2024-07-23T00:00:00"/>
    <d v="2024-08-04T00:00:00"/>
    <n v="409"/>
    <n v="371"/>
    <s v="Delivered"/>
    <x v="3"/>
    <n v="18"/>
    <n v="12"/>
    <n v="0"/>
    <x v="2"/>
  </r>
  <r>
    <s v="PO-1004"/>
    <x v="1"/>
    <x v="0"/>
    <s v="IN-South"/>
    <d v="2024-07-20T00:00:00"/>
    <d v="2024-08-07T00:00:00"/>
    <d v="2024-08-13T00:00:00"/>
    <n v="1140"/>
    <n v="1023"/>
    <s v="Delivered"/>
    <x v="4"/>
    <n v="18"/>
    <n v="6"/>
    <n v="0"/>
    <x v="0"/>
  </r>
  <r>
    <s v="PO-1005"/>
    <x v="3"/>
    <x v="2"/>
    <s v="IN-South"/>
    <d v="2024-07-27T00:00:00"/>
    <d v="2024-08-03T00:00:00"/>
    <d v="2024-08-03T00:00:00"/>
    <n v="342"/>
    <n v="309"/>
    <s v="Delivered"/>
    <x v="5"/>
    <n v="7"/>
    <n v="0"/>
    <n v="0"/>
    <x v="2"/>
  </r>
  <r>
    <s v="PO-1006"/>
    <x v="2"/>
    <x v="0"/>
    <s v="IN-West"/>
    <d v="2024-07-28T00:00:00"/>
    <d v="2024-08-15T00:00:00"/>
    <d v="2024-08-19T00:00:00"/>
    <n v="769"/>
    <n v="726"/>
    <s v="Delivered"/>
    <x v="6"/>
    <n v="18"/>
    <n v="4"/>
    <n v="0"/>
    <x v="1"/>
  </r>
  <r>
    <s v="PO-1007"/>
    <x v="4"/>
    <x v="3"/>
    <s v="IN-South"/>
    <d v="2024-07-12T00:00:00"/>
    <d v="2024-07-17T00:00:00"/>
    <d v="2024-07-17T00:00:00"/>
    <n v="1599"/>
    <n v="1542"/>
    <s v="Delivered"/>
    <x v="7"/>
    <n v="5"/>
    <n v="0"/>
    <n v="1"/>
    <x v="2"/>
  </r>
  <r>
    <s v="PO-1008"/>
    <x v="5"/>
    <x v="1"/>
    <s v="IN-North"/>
    <d v="2024-07-06T00:00:00"/>
    <d v="2024-07-12T00:00:00"/>
    <d v="2024-07-12T00:00:00"/>
    <n v="1609"/>
    <n v="1537"/>
    <s v="Delivered"/>
    <x v="8"/>
    <n v="6"/>
    <n v="0"/>
    <n v="1"/>
    <x v="1"/>
  </r>
  <r>
    <s v="PO-1009"/>
    <x v="4"/>
    <x v="2"/>
    <s v="IN-North"/>
    <d v="2024-07-27T00:00:00"/>
    <d v="2024-08-03T00:00:00"/>
    <d v="2024-08-07T00:00:00"/>
    <n v="748"/>
    <n v="678"/>
    <s v="Delivered"/>
    <x v="9"/>
    <n v="7"/>
    <n v="4"/>
    <n v="0"/>
    <x v="2"/>
  </r>
  <r>
    <s v="PO-1010"/>
    <x v="4"/>
    <x v="3"/>
    <s v="APAC"/>
    <d v="2024-07-13T00:00:00"/>
    <d v="2024-07-18T00:00:00"/>
    <d v="2024-07-16T00:00:00"/>
    <n v="705"/>
    <n v="687"/>
    <s v="Delivered"/>
    <x v="10"/>
    <n v="5"/>
    <n v="-2"/>
    <n v="1"/>
    <x v="2"/>
  </r>
  <r>
    <s v="PO-1011"/>
    <x v="6"/>
    <x v="1"/>
    <s v="APAC"/>
    <d v="2024-07-19T00:00:00"/>
    <d v="2024-07-25T00:00:00"/>
    <d v="2024-07-23T00:00:00"/>
    <n v="1243"/>
    <n v="1180"/>
    <s v="Delivered"/>
    <x v="11"/>
    <n v="6"/>
    <n v="-2"/>
    <n v="0"/>
    <x v="1"/>
  </r>
  <r>
    <s v="PO-1012"/>
    <x v="0"/>
    <x v="2"/>
    <s v="IN-North"/>
    <d v="2024-07-21T00:00:00"/>
    <d v="2024-07-28T00:00:00"/>
    <d v="2024-08-01T00:00:00"/>
    <n v="1421"/>
    <n v="1128"/>
    <s v="Delivered"/>
    <x v="12"/>
    <n v="7"/>
    <n v="4"/>
    <n v="0"/>
    <x v="0"/>
  </r>
  <r>
    <s v="PO-1013"/>
    <x v="3"/>
    <x v="1"/>
    <s v="APAC"/>
    <d v="2024-07-17T00:00:00"/>
    <d v="2024-07-23T00:00:00"/>
    <d v="2024-07-30T00:00:00"/>
    <n v="1593"/>
    <n v="1548"/>
    <s v="Delivered"/>
    <x v="13"/>
    <n v="6"/>
    <n v="7"/>
    <n v="0"/>
    <x v="2"/>
  </r>
  <r>
    <s v="PO-1014"/>
    <x v="6"/>
    <x v="0"/>
    <s v="IN-West"/>
    <d v="2024-07-10T00:00:00"/>
    <d v="2024-07-28T00:00:00"/>
    <d v="2024-07-26T00:00:00"/>
    <n v="1678"/>
    <n v="1657"/>
    <s v="Delivered"/>
    <x v="14"/>
    <n v="18"/>
    <n v="-2"/>
    <n v="1"/>
    <x v="1"/>
  </r>
  <r>
    <s v="PO-1015"/>
    <x v="6"/>
    <x v="1"/>
    <s v="IN-North"/>
    <d v="2024-07-17T00:00:00"/>
    <d v="2024-07-23T00:00:00"/>
    <d v="2024-07-26T00:00:00"/>
    <n v="1923"/>
    <n v="1853"/>
    <s v="Delivered"/>
    <x v="15"/>
    <n v="6"/>
    <n v="3"/>
    <n v="0"/>
    <x v="1"/>
  </r>
  <r>
    <s v="PO-1016"/>
    <x v="2"/>
    <x v="3"/>
    <s v="IN-South"/>
    <d v="2024-07-25T00:00:00"/>
    <d v="2024-07-30T00:00:00"/>
    <d v="2024-07-30T00:00:00"/>
    <n v="201"/>
    <n v="192"/>
    <s v="Delivered"/>
    <x v="16"/>
    <n v="5"/>
    <n v="0"/>
    <n v="1"/>
    <x v="1"/>
  </r>
  <r>
    <s v="PO-1017"/>
    <x v="7"/>
    <x v="2"/>
    <s v="IN-West"/>
    <d v="2024-07-12T00:00:00"/>
    <d v="2024-07-19T00:00:00"/>
    <d v="2024-07-17T00:00:00"/>
    <n v="1998"/>
    <n v="1911"/>
    <s v="Delivered"/>
    <x v="17"/>
    <n v="7"/>
    <n v="-2"/>
    <n v="1"/>
    <x v="2"/>
  </r>
  <r>
    <s v="PO-1018"/>
    <x v="1"/>
    <x v="2"/>
    <s v="APAC"/>
    <d v="2024-07-27T00:00:00"/>
    <d v="2024-08-03T00:00:00"/>
    <d v="2024-08-18T00:00:00"/>
    <n v="1768"/>
    <n v="1427"/>
    <s v="Delivered"/>
    <x v="18"/>
    <n v="7"/>
    <n v="15"/>
    <n v="0"/>
    <x v="0"/>
  </r>
  <r>
    <s v="PO-1019"/>
    <x v="7"/>
    <x v="1"/>
    <s v="IN-North"/>
    <d v="2024-07-09T00:00:00"/>
    <d v="2024-07-15T00:00:00"/>
    <d v="2024-07-30T00:00:00"/>
    <n v="1746"/>
    <n v="1698"/>
    <s v="Delivered"/>
    <x v="19"/>
    <n v="6"/>
    <n v="15"/>
    <n v="0"/>
    <x v="2"/>
  </r>
  <r>
    <s v="PO-1020"/>
    <x v="2"/>
    <x v="0"/>
    <s v="APAC"/>
    <d v="2024-07-22T00:00:00"/>
    <d v="2024-08-09T00:00:00"/>
    <d v="2024-08-09T00:00:00"/>
    <n v="1124"/>
    <n v="1025"/>
    <s v="Delivered"/>
    <x v="20"/>
    <n v="18"/>
    <n v="0"/>
    <n v="0"/>
    <x v="1"/>
  </r>
  <r>
    <s v="PO-1021"/>
    <x v="2"/>
    <x v="2"/>
    <s v="IN-South"/>
    <d v="2024-07-01T00:00:00"/>
    <d v="2024-07-08T00:00:00"/>
    <d v="2024-07-06T00:00:00"/>
    <n v="345"/>
    <n v="334"/>
    <s v="Delivered"/>
    <x v="21"/>
    <n v="7"/>
    <n v="-2"/>
    <n v="1"/>
    <x v="1"/>
  </r>
  <r>
    <s v="PO-1022"/>
    <x v="0"/>
    <x v="3"/>
    <s v="IN-West"/>
    <d v="2024-07-02T00:00:00"/>
    <d v="2024-07-07T00:00:00"/>
    <d v="2024-07-05T00:00:00"/>
    <n v="770"/>
    <n v="713"/>
    <s v="Delivered"/>
    <x v="22"/>
    <n v="5"/>
    <n v="-2"/>
    <n v="0"/>
    <x v="0"/>
  </r>
  <r>
    <s v="PO-1023"/>
    <x v="2"/>
    <x v="1"/>
    <s v="IN-North"/>
    <d v="2024-07-24T00:00:00"/>
    <d v="2024-07-30T00:00:00"/>
    <d v="2024-07-29T00:00:00"/>
    <n v="1853"/>
    <n v="1743"/>
    <s v="Delivered"/>
    <x v="23"/>
    <n v="6"/>
    <n v="-1"/>
    <n v="0"/>
    <x v="1"/>
  </r>
  <r>
    <s v="PO-1024"/>
    <x v="1"/>
    <x v="2"/>
    <s v="APAC"/>
    <d v="2024-07-12T00:00:00"/>
    <d v="2024-07-19T00:00:00"/>
    <d v="2024-07-19T00:00:00"/>
    <n v="310"/>
    <n v="287"/>
    <s v="Delivered"/>
    <x v="24"/>
    <n v="7"/>
    <n v="0"/>
    <n v="0"/>
    <x v="0"/>
  </r>
  <r>
    <s v="PO-1025"/>
    <x v="1"/>
    <x v="2"/>
    <s v="APAC"/>
    <d v="2024-07-24T00:00:00"/>
    <d v="2024-07-31T00:00:00"/>
    <d v="2024-08-01T00:00:00"/>
    <n v="709"/>
    <n v="582"/>
    <s v="Delivered"/>
    <x v="25"/>
    <n v="7"/>
    <n v="1"/>
    <n v="0"/>
    <x v="0"/>
  </r>
  <r>
    <s v="PO-1026"/>
    <x v="7"/>
    <x v="3"/>
    <s v="APAC"/>
    <d v="2024-07-06T00:00:00"/>
    <d v="2024-07-11T00:00:00"/>
    <d v="2024-07-09T00:00:00"/>
    <n v="1107"/>
    <n v="1085"/>
    <s v="Delivered"/>
    <x v="26"/>
    <n v="5"/>
    <n v="-2"/>
    <n v="1"/>
    <x v="2"/>
  </r>
  <r>
    <s v="PO-1027"/>
    <x v="1"/>
    <x v="2"/>
    <s v="IN-West"/>
    <d v="2024-07-03T00:00:00"/>
    <d v="2024-07-10T00:00:00"/>
    <d v="2024-07-09T00:00:00"/>
    <n v="1185"/>
    <n v="980"/>
    <s v="Delivered"/>
    <x v="27"/>
    <n v="7"/>
    <n v="-1"/>
    <n v="0"/>
    <x v="0"/>
  </r>
  <r>
    <s v="PO-1028"/>
    <x v="3"/>
    <x v="2"/>
    <s v="IN-North"/>
    <d v="2024-07-13T00:00:00"/>
    <d v="2024-07-20T00:00:00"/>
    <d v="2024-07-31T00:00:00"/>
    <n v="1805"/>
    <n v="1766"/>
    <s v="Delivered"/>
    <x v="28"/>
    <n v="7"/>
    <n v="11"/>
    <n v="0"/>
    <x v="2"/>
  </r>
  <r>
    <s v="PO-1029"/>
    <x v="6"/>
    <x v="4"/>
    <s v="APAC"/>
    <d v="2024-07-05T00:00:00"/>
    <d v="2024-07-26T00:00:00"/>
    <d v="2024-07-24T00:00:00"/>
    <n v="1386"/>
    <n v="1349"/>
    <s v="Delivered"/>
    <x v="29"/>
    <n v="21"/>
    <n v="-2"/>
    <n v="1"/>
    <x v="1"/>
  </r>
  <r>
    <s v="PO-1030"/>
    <x v="0"/>
    <x v="0"/>
    <s v="IN-West"/>
    <d v="2024-07-02T00:00:00"/>
    <d v="2024-07-20T00:00:00"/>
    <d v="2024-07-20T00:00:00"/>
    <n v="522"/>
    <n v="413"/>
    <s v="Delivered"/>
    <x v="30"/>
    <n v="18"/>
    <n v="0"/>
    <n v="0"/>
    <x v="0"/>
  </r>
  <r>
    <s v="PO-1031"/>
    <x v="1"/>
    <x v="3"/>
    <s v="IN-West"/>
    <d v="2024-07-20T00:00:00"/>
    <d v="2024-07-25T00:00:00"/>
    <d v="2024-07-23T00:00:00"/>
    <n v="1026"/>
    <n v="827"/>
    <s v="Delivered"/>
    <x v="31"/>
    <n v="5"/>
    <n v="-2"/>
    <n v="0"/>
    <x v="0"/>
  </r>
  <r>
    <s v="PO-1032"/>
    <x v="2"/>
    <x v="1"/>
    <s v="IN-West"/>
    <d v="2024-07-20T00:00:00"/>
    <d v="2024-07-26T00:00:00"/>
    <d v="2024-07-26T00:00:00"/>
    <n v="1357"/>
    <n v="1292"/>
    <s v="Delivered"/>
    <x v="32"/>
    <n v="6"/>
    <n v="0"/>
    <n v="1"/>
    <x v="1"/>
  </r>
  <r>
    <s v="PO-1033"/>
    <x v="6"/>
    <x v="3"/>
    <s v="IN-South"/>
    <d v="2024-07-08T00:00:00"/>
    <d v="2024-07-13T00:00:00"/>
    <d v="2024-07-13T00:00:00"/>
    <n v="1521"/>
    <n v="1414"/>
    <s v="Delivered"/>
    <x v="33"/>
    <n v="5"/>
    <n v="0"/>
    <n v="0"/>
    <x v="1"/>
  </r>
  <r>
    <s v="PO-1034"/>
    <x v="4"/>
    <x v="2"/>
    <s v="IN-West"/>
    <d v="2024-07-15T00:00:00"/>
    <d v="2024-07-22T00:00:00"/>
    <d v="2024-07-20T00:00:00"/>
    <n v="1236"/>
    <n v="1145"/>
    <s v="Delivered"/>
    <x v="34"/>
    <n v="7"/>
    <n v="-2"/>
    <n v="0"/>
    <x v="2"/>
  </r>
  <r>
    <s v="PO-1035"/>
    <x v="4"/>
    <x v="2"/>
    <s v="IN-North"/>
    <d v="2024-07-12T00:00:00"/>
    <d v="2024-07-19T00:00:00"/>
    <d v="2024-07-19T00:00:00"/>
    <n v="1640"/>
    <n v="1525"/>
    <s v="Delivered"/>
    <x v="35"/>
    <n v="7"/>
    <n v="0"/>
    <n v="0"/>
    <x v="2"/>
  </r>
  <r>
    <s v="PO-1036"/>
    <x v="0"/>
    <x v="1"/>
    <s v="IN-South"/>
    <d v="2024-07-22T00:00:00"/>
    <d v="2024-07-28T00:00:00"/>
    <d v="2024-07-30T00:00:00"/>
    <n v="741"/>
    <n v="596"/>
    <s v="Delivered"/>
    <x v="36"/>
    <n v="6"/>
    <n v="2"/>
    <n v="0"/>
    <x v="0"/>
  </r>
  <r>
    <s v="PO-1037"/>
    <x v="1"/>
    <x v="1"/>
    <s v="IN-North"/>
    <d v="2024-07-09T00:00:00"/>
    <d v="2024-07-15T00:00:00"/>
    <d v="2024-07-15T00:00:00"/>
    <n v="902"/>
    <n v="743"/>
    <s v="Delivered"/>
    <x v="37"/>
    <n v="6"/>
    <n v="0"/>
    <n v="0"/>
    <x v="0"/>
  </r>
  <r>
    <s v="PO-1038"/>
    <x v="6"/>
    <x v="1"/>
    <s v="APAC"/>
    <d v="2024-07-09T00:00:00"/>
    <d v="2024-07-15T00:00:00"/>
    <d v="2024-07-14T00:00:00"/>
    <n v="1898"/>
    <n v="1760"/>
    <s v="Delivered"/>
    <x v="38"/>
    <n v="6"/>
    <n v="-1"/>
    <n v="0"/>
    <x v="1"/>
  </r>
  <r>
    <s v="PO-1039"/>
    <x v="0"/>
    <x v="0"/>
    <s v="IN-North"/>
    <d v="2024-07-21T00:00:00"/>
    <d v="2024-08-08T00:00:00"/>
    <d v="2024-08-07T00:00:00"/>
    <n v="1329"/>
    <n v="1242"/>
    <s v="Delivered"/>
    <x v="39"/>
    <n v="18"/>
    <n v="-1"/>
    <n v="0"/>
    <x v="0"/>
  </r>
  <r>
    <s v="PO-1040"/>
    <x v="0"/>
    <x v="2"/>
    <s v="IN-West"/>
    <d v="2024-07-23T00:00:00"/>
    <d v="2024-07-30T00:00:00"/>
    <d v="2024-07-29T00:00:00"/>
    <n v="1392"/>
    <n v="1254"/>
    <s v="Delivered"/>
    <x v="40"/>
    <n v="7"/>
    <n v="-1"/>
    <n v="0"/>
    <x v="0"/>
  </r>
  <r>
    <s v="PO-1041"/>
    <x v="3"/>
    <x v="3"/>
    <s v="IN-West"/>
    <d v="2024-07-10T00:00:00"/>
    <d v="2024-07-15T00:00:00"/>
    <d v="2024-07-16T00:00:00"/>
    <n v="932"/>
    <n v="858"/>
    <s v="Delivered"/>
    <x v="41"/>
    <n v="5"/>
    <n v="1"/>
    <n v="0"/>
    <x v="2"/>
  </r>
  <r>
    <s v="PO-1042"/>
    <x v="2"/>
    <x v="2"/>
    <s v="IN-South"/>
    <d v="2024-07-25T00:00:00"/>
    <d v="2024-08-01T00:00:00"/>
    <d v="2024-08-10T00:00:00"/>
    <n v="684"/>
    <n v="674"/>
    <s v="Delivered"/>
    <x v="42"/>
    <n v="7"/>
    <n v="9"/>
    <n v="0"/>
    <x v="1"/>
  </r>
  <r>
    <s v="PO-1043"/>
    <x v="5"/>
    <x v="4"/>
    <s v="IN-West"/>
    <d v="2024-07-06T00:00:00"/>
    <d v="2024-07-27T00:00:00"/>
    <d v="2024-07-31T00:00:00"/>
    <n v="1842"/>
    <n v="1781"/>
    <s v="Delivered"/>
    <x v="43"/>
    <n v="21"/>
    <n v="4"/>
    <n v="0"/>
    <x v="1"/>
  </r>
  <r>
    <s v="PO-1044"/>
    <x v="2"/>
    <x v="0"/>
    <s v="IN-North"/>
    <d v="2024-07-26T00:00:00"/>
    <d v="2024-08-13T00:00:00"/>
    <d v="2024-08-11T00:00:00"/>
    <n v="1958"/>
    <n v="1854"/>
    <s v="Delivered"/>
    <x v="44"/>
    <n v="18"/>
    <n v="-2"/>
    <n v="0"/>
    <x v="1"/>
  </r>
  <r>
    <s v="PO-1045"/>
    <x v="2"/>
    <x v="4"/>
    <s v="IN-South"/>
    <d v="2024-07-10T00:00:00"/>
    <d v="2024-07-31T00:00:00"/>
    <d v="2024-07-31T00:00:00"/>
    <n v="595"/>
    <n v="559"/>
    <s v="Delivered"/>
    <x v="45"/>
    <n v="21"/>
    <n v="0"/>
    <n v="0"/>
    <x v="1"/>
  </r>
  <r>
    <s v="PO-1046"/>
    <x v="6"/>
    <x v="2"/>
    <s v="IN-South"/>
    <d v="2024-07-12T00:00:00"/>
    <d v="2024-07-19T00:00:00"/>
    <d v="2024-07-19T00:00:00"/>
    <n v="878"/>
    <n v="872"/>
    <s v="Delivered"/>
    <x v="46"/>
    <n v="7"/>
    <n v="0"/>
    <n v="1"/>
    <x v="1"/>
  </r>
  <r>
    <s v="PO-1047"/>
    <x v="1"/>
    <x v="0"/>
    <s v="IN-North"/>
    <d v="2024-07-19T00:00:00"/>
    <d v="2024-08-06T00:00:00"/>
    <d v="2024-08-06T00:00:00"/>
    <n v="1089"/>
    <n v="932"/>
    <s v="Delivered"/>
    <x v="47"/>
    <n v="18"/>
    <n v="0"/>
    <n v="0"/>
    <x v="0"/>
  </r>
  <r>
    <s v="PO-1048"/>
    <x v="4"/>
    <x v="4"/>
    <s v="IN-West"/>
    <d v="2024-07-13T00:00:00"/>
    <d v="2024-08-03T00:00:00"/>
    <d v="2024-08-03T00:00:00"/>
    <n v="1093"/>
    <n v="983"/>
    <s v="Delivered"/>
    <x v="48"/>
    <n v="21"/>
    <n v="0"/>
    <n v="0"/>
    <x v="2"/>
  </r>
  <r>
    <s v="PO-1049"/>
    <x v="2"/>
    <x v="0"/>
    <s v="APAC"/>
    <d v="2024-07-03T00:00:00"/>
    <d v="2024-07-21T00:00:00"/>
    <d v="2024-07-21T00:00:00"/>
    <n v="1936"/>
    <n v="1766"/>
    <s v="Delivered"/>
    <x v="49"/>
    <n v="18"/>
    <n v="0"/>
    <n v="0"/>
    <x v="1"/>
  </r>
  <r>
    <s v="PO-1050"/>
    <x v="6"/>
    <x v="1"/>
    <s v="IN-South"/>
    <d v="2024-07-22T00:00:00"/>
    <d v="2024-07-28T00:00:00"/>
    <d v="2024-07-28T00:00:00"/>
    <n v="805"/>
    <n v="769"/>
    <s v="Delivered"/>
    <x v="50"/>
    <n v="6"/>
    <n v="0"/>
    <n v="1"/>
    <x v="1"/>
  </r>
  <r>
    <s v="PO-1051"/>
    <x v="2"/>
    <x v="4"/>
    <s v="APAC"/>
    <d v="2024-07-22T00:00:00"/>
    <d v="2024-08-12T00:00:00"/>
    <d v="2024-08-11T00:00:00"/>
    <n v="1031"/>
    <n v="984"/>
    <s v="Delivered"/>
    <x v="51"/>
    <n v="21"/>
    <n v="-1"/>
    <n v="1"/>
    <x v="1"/>
  </r>
  <r>
    <s v="PO-1052"/>
    <x v="0"/>
    <x v="0"/>
    <s v="IN-South"/>
    <d v="2024-07-07T00:00:00"/>
    <d v="2024-07-25T00:00:00"/>
    <d v="2024-07-30T00:00:00"/>
    <n v="1540"/>
    <n v="1310"/>
    <s v="Delivered"/>
    <x v="52"/>
    <n v="18"/>
    <n v="5"/>
    <n v="0"/>
    <x v="0"/>
  </r>
  <r>
    <s v="PO-1053"/>
    <x v="7"/>
    <x v="4"/>
    <s v="IN-North"/>
    <d v="2024-07-17T00:00:00"/>
    <d v="2024-08-07T00:00:00"/>
    <d v="2024-08-13T00:00:00"/>
    <n v="547"/>
    <n v="528"/>
    <s v="Delivered"/>
    <x v="53"/>
    <n v="21"/>
    <n v="6"/>
    <n v="0"/>
    <x v="2"/>
  </r>
  <r>
    <s v="PO-1054"/>
    <x v="6"/>
    <x v="1"/>
    <s v="IN-South"/>
    <d v="2024-07-03T00:00:00"/>
    <d v="2024-07-09T00:00:00"/>
    <d v="2024-07-07T00:00:00"/>
    <n v="1851"/>
    <n v="1702"/>
    <s v="Delivered"/>
    <x v="54"/>
    <n v="6"/>
    <n v="-2"/>
    <n v="0"/>
    <x v="1"/>
  </r>
  <r>
    <s v="PO-1055"/>
    <x v="0"/>
    <x v="2"/>
    <s v="IN-North"/>
    <d v="2024-07-16T00:00:00"/>
    <d v="2024-07-23T00:00:00"/>
    <d v="2024-07-23T00:00:00"/>
    <n v="1378"/>
    <n v="1133"/>
    <s v="Delivered"/>
    <x v="55"/>
    <n v="7"/>
    <n v="0"/>
    <n v="0"/>
    <x v="0"/>
  </r>
  <r>
    <s v="PO-1056"/>
    <x v="3"/>
    <x v="4"/>
    <s v="APAC"/>
    <d v="2024-07-08T00:00:00"/>
    <d v="2024-07-29T00:00:00"/>
    <d v="2024-07-27T00:00:00"/>
    <n v="1737"/>
    <n v="1712"/>
    <s v="Delivered"/>
    <x v="56"/>
    <n v="21"/>
    <n v="-2"/>
    <n v="1"/>
    <x v="2"/>
  </r>
  <r>
    <s v="PO-1057"/>
    <x v="1"/>
    <x v="4"/>
    <s v="IN-North"/>
    <d v="2024-07-06T00:00:00"/>
    <d v="2024-07-27T00:00:00"/>
    <d v="2024-07-25T00:00:00"/>
    <n v="1937"/>
    <n v="1562"/>
    <s v="Delivered"/>
    <x v="57"/>
    <n v="21"/>
    <n v="-2"/>
    <n v="0"/>
    <x v="0"/>
  </r>
  <r>
    <s v="PO-1058"/>
    <x v="5"/>
    <x v="4"/>
    <s v="IN-South"/>
    <d v="2024-07-25T00:00:00"/>
    <d v="2024-08-15T00:00:00"/>
    <d v="2024-08-15T00:00:00"/>
    <n v="1233"/>
    <n v="1162"/>
    <s v="Delivered"/>
    <x v="58"/>
    <n v="21"/>
    <n v="0"/>
    <n v="0"/>
    <x v="1"/>
  </r>
  <r>
    <s v="PO-1059"/>
    <x v="7"/>
    <x v="3"/>
    <s v="APAC"/>
    <d v="2024-07-15T00:00:00"/>
    <d v="2024-07-20T00:00:00"/>
    <d v="2024-07-26T00:00:00"/>
    <n v="767"/>
    <n v="749"/>
    <s v="Delivered"/>
    <x v="59"/>
    <n v="5"/>
    <n v="6"/>
    <n v="0"/>
    <x v="2"/>
  </r>
  <r>
    <s v="PO-1060"/>
    <x v="7"/>
    <x v="3"/>
    <s v="IN-South"/>
    <d v="2024-07-15T00:00:00"/>
    <d v="2024-07-20T00:00:00"/>
    <d v="2024-07-22T00:00:00"/>
    <n v="756"/>
    <n v="705"/>
    <s v="Delivered"/>
    <x v="60"/>
    <n v="5"/>
    <n v="2"/>
    <n v="0"/>
    <x v="2"/>
  </r>
  <r>
    <s v="PO-1061"/>
    <x v="1"/>
    <x v="3"/>
    <s v="IN-North"/>
    <d v="2024-07-08T00:00:00"/>
    <d v="2024-07-13T00:00:00"/>
    <d v="2024-07-13T00:00:00"/>
    <n v="638"/>
    <n v="506"/>
    <s v="Delivered"/>
    <x v="61"/>
    <n v="5"/>
    <n v="0"/>
    <n v="0"/>
    <x v="0"/>
  </r>
  <r>
    <s v="PO-1062"/>
    <x v="3"/>
    <x v="0"/>
    <s v="APAC"/>
    <d v="2024-07-14T00:00:00"/>
    <d v="2024-08-01T00:00:00"/>
    <d v="2024-07-31T00:00:00"/>
    <n v="997"/>
    <n v="987"/>
    <s v="Delivered"/>
    <x v="62"/>
    <n v="18"/>
    <n v="-1"/>
    <n v="1"/>
    <x v="2"/>
  </r>
  <r>
    <s v="PO-1063"/>
    <x v="0"/>
    <x v="1"/>
    <s v="APAC"/>
    <d v="2024-07-16T00:00:00"/>
    <d v="2024-07-22T00:00:00"/>
    <d v="2024-07-25T00:00:00"/>
    <n v="1743"/>
    <n v="1509"/>
    <s v="Delivered"/>
    <x v="63"/>
    <n v="6"/>
    <n v="3"/>
    <n v="0"/>
    <x v="0"/>
  </r>
  <r>
    <s v="PO-1064"/>
    <x v="3"/>
    <x v="1"/>
    <s v="IN-North"/>
    <d v="2024-07-16T00:00:00"/>
    <d v="2024-07-22T00:00:00"/>
    <d v="2024-07-21T00:00:00"/>
    <n v="259"/>
    <n v="243"/>
    <s v="Delivered"/>
    <x v="64"/>
    <n v="6"/>
    <n v="-1"/>
    <n v="0"/>
    <x v="2"/>
  </r>
  <r>
    <s v="PO-1065"/>
    <x v="3"/>
    <x v="3"/>
    <s v="APAC"/>
    <d v="2024-07-05T00:00:00"/>
    <d v="2024-07-10T00:00:00"/>
    <d v="2024-07-15T00:00:00"/>
    <n v="1355"/>
    <n v="1309"/>
    <s v="Delivered"/>
    <x v="65"/>
    <n v="5"/>
    <n v="5"/>
    <n v="0"/>
    <x v="2"/>
  </r>
  <r>
    <s v="PO-1066"/>
    <x v="1"/>
    <x v="4"/>
    <s v="IN-North"/>
    <d v="2024-07-28T00:00:00"/>
    <d v="2024-08-18T00:00:00"/>
    <d v="2024-08-17T00:00:00"/>
    <n v="976"/>
    <n v="831"/>
    <s v="Delivered"/>
    <x v="66"/>
    <n v="21"/>
    <n v="-1"/>
    <n v="0"/>
    <x v="0"/>
  </r>
  <r>
    <s v="PO-1067"/>
    <x v="7"/>
    <x v="0"/>
    <s v="IN-South"/>
    <d v="2024-07-25T00:00:00"/>
    <d v="2024-08-12T00:00:00"/>
    <d v="2024-08-11T00:00:00"/>
    <n v="716"/>
    <n v="704"/>
    <s v="Delivered"/>
    <x v="67"/>
    <n v="18"/>
    <n v="-1"/>
    <n v="1"/>
    <x v="2"/>
  </r>
  <r>
    <s v="PO-1068"/>
    <x v="7"/>
    <x v="2"/>
    <s v="IN-West"/>
    <d v="2024-07-12T00:00:00"/>
    <d v="2024-07-19T00:00:00"/>
    <d v="2024-07-19T00:00:00"/>
    <n v="282"/>
    <n v="275"/>
    <s v="Delivered"/>
    <x v="68"/>
    <n v="7"/>
    <n v="0"/>
    <n v="1"/>
    <x v="2"/>
  </r>
  <r>
    <s v="PO-1069"/>
    <x v="2"/>
    <x v="3"/>
    <s v="IN-West"/>
    <d v="2024-07-20T00:00:00"/>
    <d v="2024-07-25T00:00:00"/>
    <d v="2024-07-24T00:00:00"/>
    <n v="1571"/>
    <n v="1431"/>
    <s v="Delivered"/>
    <x v="69"/>
    <n v="5"/>
    <n v="-1"/>
    <n v="0"/>
    <x v="1"/>
  </r>
  <r>
    <s v="PO-1070"/>
    <x v="2"/>
    <x v="4"/>
    <s v="IN-South"/>
    <d v="2024-07-25T00:00:00"/>
    <d v="2024-08-15T00:00:00"/>
    <d v="2024-08-15T00:00:00"/>
    <n v="1731"/>
    <n v="1682"/>
    <s v="Delivered"/>
    <x v="70"/>
    <n v="21"/>
    <n v="0"/>
    <n v="1"/>
    <x v="1"/>
  </r>
  <r>
    <s v="PO-1071"/>
    <x v="5"/>
    <x v="0"/>
    <s v="IN-West"/>
    <d v="2024-07-19T00:00:00"/>
    <d v="2024-08-06T00:00:00"/>
    <d v="2024-08-11T00:00:00"/>
    <n v="1587"/>
    <n v="1572"/>
    <s v="Delivered"/>
    <x v="71"/>
    <n v="18"/>
    <n v="5"/>
    <n v="0"/>
    <x v="1"/>
  </r>
  <r>
    <s v="PO-1072"/>
    <x v="3"/>
    <x v="4"/>
    <s v="IN-North"/>
    <d v="2024-07-03T00:00:00"/>
    <d v="2024-07-24T00:00:00"/>
    <d v="2024-07-23T00:00:00"/>
    <n v="1941"/>
    <n v="1879"/>
    <s v="Delivered"/>
    <x v="72"/>
    <n v="21"/>
    <n v="-1"/>
    <n v="1"/>
    <x v="2"/>
  </r>
  <r>
    <s v="PO-1073"/>
    <x v="1"/>
    <x v="1"/>
    <s v="IN-West"/>
    <d v="2024-07-12T00:00:00"/>
    <d v="2024-07-18T00:00:00"/>
    <d v="2024-07-16T00:00:00"/>
    <n v="1236"/>
    <n v="1140"/>
    <s v="Delivered"/>
    <x v="73"/>
    <n v="6"/>
    <n v="-2"/>
    <n v="0"/>
    <x v="0"/>
  </r>
  <r>
    <s v="PO-1074"/>
    <x v="0"/>
    <x v="4"/>
    <s v="APAC"/>
    <d v="2024-07-04T00:00:00"/>
    <d v="2024-07-25T00:00:00"/>
    <d v="2024-08-08T00:00:00"/>
    <n v="1648"/>
    <n v="1340"/>
    <s v="Delivered"/>
    <x v="74"/>
    <n v="21"/>
    <n v="14"/>
    <n v="0"/>
    <x v="0"/>
  </r>
  <r>
    <s v="PO-1075"/>
    <x v="5"/>
    <x v="1"/>
    <s v="IN-South"/>
    <d v="2024-07-20T00:00:00"/>
    <d v="2024-07-26T00:00:00"/>
    <d v="2024-07-26T00:00:00"/>
    <n v="1413"/>
    <n v="1309"/>
    <s v="Delivered"/>
    <x v="75"/>
    <n v="6"/>
    <n v="0"/>
    <n v="0"/>
    <x v="1"/>
  </r>
  <r>
    <s v="PO-1076"/>
    <x v="2"/>
    <x v="2"/>
    <s v="IN-South"/>
    <d v="2024-07-15T00:00:00"/>
    <d v="2024-07-22T00:00:00"/>
    <d v="2024-07-27T00:00:00"/>
    <n v="1449"/>
    <n v="1400"/>
    <s v="Delivered"/>
    <x v="76"/>
    <n v="7"/>
    <n v="5"/>
    <n v="0"/>
    <x v="1"/>
  </r>
  <r>
    <s v="PO-1077"/>
    <x v="4"/>
    <x v="2"/>
    <s v="APAC"/>
    <d v="2024-07-28T00:00:00"/>
    <d v="2024-08-04T00:00:00"/>
    <d v="2024-08-02T00:00:00"/>
    <n v="926"/>
    <n v="907"/>
    <s v="Delivered"/>
    <x v="77"/>
    <n v="7"/>
    <n v="-2"/>
    <n v="1"/>
    <x v="2"/>
  </r>
  <r>
    <s v="PO-1078"/>
    <x v="4"/>
    <x v="0"/>
    <s v="IN-South"/>
    <d v="2024-07-18T00:00:00"/>
    <d v="2024-08-05T00:00:00"/>
    <d v="2024-08-03T00:00:00"/>
    <n v="375"/>
    <n v="346"/>
    <s v="Delivered"/>
    <x v="78"/>
    <n v="18"/>
    <n v="-2"/>
    <n v="0"/>
    <x v="2"/>
  </r>
  <r>
    <s v="PO-1079"/>
    <x v="3"/>
    <x v="4"/>
    <s v="IN-North"/>
    <d v="2024-07-23T00:00:00"/>
    <d v="2024-08-13T00:00:00"/>
    <d v="2024-08-12T00:00:00"/>
    <n v="1117"/>
    <n v="1093"/>
    <s v="Delivered"/>
    <x v="79"/>
    <n v="21"/>
    <n v="-1"/>
    <n v="1"/>
    <x v="2"/>
  </r>
  <r>
    <s v="PO-1080"/>
    <x v="1"/>
    <x v="0"/>
    <s v="IN-North"/>
    <d v="2024-07-13T00:00:00"/>
    <d v="2024-07-31T00:00:00"/>
    <d v="2024-07-31T00:00:00"/>
    <n v="955"/>
    <n v="844"/>
    <s v="Delivered"/>
    <x v="80"/>
    <n v="18"/>
    <n v="0"/>
    <n v="0"/>
    <x v="0"/>
  </r>
  <r>
    <s v="PO-1081"/>
    <x v="4"/>
    <x v="4"/>
    <s v="IN-South"/>
    <d v="2024-07-12T00:00:00"/>
    <d v="2024-08-02T00:00:00"/>
    <d v="2024-08-01T00:00:00"/>
    <n v="672"/>
    <n v="612"/>
    <s v="Delivered"/>
    <x v="81"/>
    <n v="21"/>
    <n v="-1"/>
    <n v="0"/>
    <x v="2"/>
  </r>
  <r>
    <s v="PO-1082"/>
    <x v="2"/>
    <x v="0"/>
    <s v="IN-West"/>
    <d v="2024-07-24T00:00:00"/>
    <d v="2024-08-11T00:00:00"/>
    <d v="2024-08-11T00:00:00"/>
    <n v="1191"/>
    <n v="1104"/>
    <s v="Delivered"/>
    <x v="82"/>
    <n v="18"/>
    <n v="0"/>
    <n v="0"/>
    <x v="1"/>
  </r>
  <r>
    <s v="PO-1083"/>
    <x v="6"/>
    <x v="2"/>
    <s v="IN-North"/>
    <d v="2024-07-10T00:00:00"/>
    <d v="2024-07-17T00:00:00"/>
    <d v="2024-07-16T00:00:00"/>
    <n v="228"/>
    <n v="221"/>
    <s v="Delivered"/>
    <x v="83"/>
    <n v="7"/>
    <n v="-1"/>
    <n v="1"/>
    <x v="1"/>
  </r>
  <r>
    <s v="PO-1084"/>
    <x v="5"/>
    <x v="0"/>
    <s v="IN-West"/>
    <d v="2024-07-02T00:00:00"/>
    <d v="2024-07-20T00:00:00"/>
    <d v="2024-07-18T00:00:00"/>
    <n v="1506"/>
    <n v="1486"/>
    <s v="Delivered"/>
    <x v="84"/>
    <n v="18"/>
    <n v="-2"/>
    <n v="1"/>
    <x v="1"/>
  </r>
  <r>
    <s v="PO-1085"/>
    <x v="7"/>
    <x v="2"/>
    <s v="IN-West"/>
    <d v="2024-07-19T00:00:00"/>
    <d v="2024-07-26T00:00:00"/>
    <d v="2024-07-25T00:00:00"/>
    <n v="897"/>
    <n v="823"/>
    <s v="Delivered"/>
    <x v="85"/>
    <n v="7"/>
    <n v="-1"/>
    <n v="0"/>
    <x v="2"/>
  </r>
  <r>
    <s v="PO-1086"/>
    <x v="0"/>
    <x v="0"/>
    <s v="APAC"/>
    <d v="2024-07-04T00:00:00"/>
    <d v="2024-07-22T00:00:00"/>
    <d v="2024-07-20T00:00:00"/>
    <n v="1381"/>
    <n v="1268"/>
    <s v="Delivered"/>
    <x v="86"/>
    <n v="18"/>
    <n v="-2"/>
    <n v="0"/>
    <x v="0"/>
  </r>
  <r>
    <s v="PO-1087"/>
    <x v="0"/>
    <x v="3"/>
    <s v="IN-North"/>
    <d v="2024-07-26T00:00:00"/>
    <d v="2024-07-31T00:00:00"/>
    <d v="2024-07-29T00:00:00"/>
    <n v="442"/>
    <n v="399"/>
    <s v="Delivered"/>
    <x v="87"/>
    <n v="5"/>
    <n v="-2"/>
    <n v="0"/>
    <x v="0"/>
  </r>
  <r>
    <s v="PO-1088"/>
    <x v="3"/>
    <x v="1"/>
    <s v="IN-North"/>
    <d v="2024-07-25T00:00:00"/>
    <d v="2024-07-31T00:00:00"/>
    <d v="2024-07-30T00:00:00"/>
    <n v="808"/>
    <n v="796"/>
    <s v="Delivered"/>
    <x v="88"/>
    <n v="6"/>
    <n v="-1"/>
    <n v="1"/>
    <x v="2"/>
  </r>
  <r>
    <s v="PO-1089"/>
    <x v="3"/>
    <x v="0"/>
    <s v="IN-West"/>
    <d v="2024-07-20T00:00:00"/>
    <d v="2024-08-07T00:00:00"/>
    <d v="2024-08-09T00:00:00"/>
    <n v="1481"/>
    <n v="1364"/>
    <s v="Delivered"/>
    <x v="89"/>
    <n v="18"/>
    <n v="2"/>
    <n v="0"/>
    <x v="2"/>
  </r>
  <r>
    <s v="PO-1090"/>
    <x v="1"/>
    <x v="3"/>
    <s v="IN-North"/>
    <d v="2024-07-06T00:00:00"/>
    <d v="2024-07-11T00:00:00"/>
    <d v="2024-07-10T00:00:00"/>
    <n v="1122"/>
    <n v="1045"/>
    <s v="Delivered"/>
    <x v="90"/>
    <n v="5"/>
    <n v="-1"/>
    <n v="0"/>
    <x v="0"/>
  </r>
  <r>
    <s v="PO-1091"/>
    <x v="7"/>
    <x v="0"/>
    <s v="IN-West"/>
    <d v="2024-07-08T00:00:00"/>
    <d v="2024-07-26T00:00:00"/>
    <d v="2024-08-01T00:00:00"/>
    <n v="1960"/>
    <n v="1852"/>
    <s v="Delivered"/>
    <x v="91"/>
    <n v="18"/>
    <n v="6"/>
    <n v="0"/>
    <x v="2"/>
  </r>
  <r>
    <s v="PO-1092"/>
    <x v="2"/>
    <x v="0"/>
    <s v="IN-North"/>
    <d v="2024-07-14T00:00:00"/>
    <d v="2024-08-01T00:00:00"/>
    <d v="2024-08-01T00:00:00"/>
    <n v="505"/>
    <n v="500"/>
    <s v="Delivered"/>
    <x v="92"/>
    <n v="18"/>
    <n v="0"/>
    <n v="1"/>
    <x v="1"/>
  </r>
  <r>
    <s v="PO-1093"/>
    <x v="5"/>
    <x v="2"/>
    <s v="IN-West"/>
    <d v="2024-07-06T00:00:00"/>
    <d v="2024-07-13T00:00:00"/>
    <d v="2024-07-13T00:00:00"/>
    <n v="791"/>
    <n v="746"/>
    <s v="Delivered"/>
    <x v="93"/>
    <n v="7"/>
    <n v="0"/>
    <n v="0"/>
    <x v="1"/>
  </r>
  <r>
    <s v="PO-1094"/>
    <x v="7"/>
    <x v="0"/>
    <s v="APAC"/>
    <d v="2024-07-09T00:00:00"/>
    <d v="2024-07-27T00:00:00"/>
    <d v="2024-07-27T00:00:00"/>
    <n v="281"/>
    <n v="277"/>
    <s v="Delivered"/>
    <x v="94"/>
    <n v="18"/>
    <n v="0"/>
    <n v="1"/>
    <x v="2"/>
  </r>
  <r>
    <s v="PO-1095"/>
    <x v="4"/>
    <x v="1"/>
    <s v="IN-South"/>
    <d v="2024-07-01T00:00:00"/>
    <d v="2024-07-07T00:00:00"/>
    <d v="2024-07-07T00:00:00"/>
    <n v="1912"/>
    <n v="1885"/>
    <s v="Delivered"/>
    <x v="95"/>
    <n v="6"/>
    <n v="0"/>
    <n v="1"/>
    <x v="2"/>
  </r>
  <r>
    <s v="PO-1096"/>
    <x v="0"/>
    <x v="0"/>
    <s v="IN-West"/>
    <d v="2024-07-25T00:00:00"/>
    <d v="2024-08-12T00:00:00"/>
    <d v="2024-08-12T00:00:00"/>
    <n v="1105"/>
    <n v="1084"/>
    <s v="Delivered"/>
    <x v="96"/>
    <n v="18"/>
    <n v="0"/>
    <n v="1"/>
    <x v="0"/>
  </r>
  <r>
    <s v="PO-1097"/>
    <x v="5"/>
    <x v="1"/>
    <s v="APAC"/>
    <d v="2024-07-21T00:00:00"/>
    <d v="2024-07-27T00:00:00"/>
    <d v="2024-08-10T00:00:00"/>
    <n v="912"/>
    <n v="858"/>
    <s v="Delivered"/>
    <x v="97"/>
    <n v="6"/>
    <n v="14"/>
    <n v="0"/>
    <x v="1"/>
  </r>
  <r>
    <s v="PO-1098"/>
    <x v="4"/>
    <x v="2"/>
    <s v="IN-North"/>
    <d v="2024-07-11T00:00:00"/>
    <d v="2024-07-18T00:00:00"/>
    <d v="2024-07-17T00:00:00"/>
    <n v="1556"/>
    <n v="1547"/>
    <s v="Delivered"/>
    <x v="98"/>
    <n v="7"/>
    <n v="-1"/>
    <n v="1"/>
    <x v="2"/>
  </r>
  <r>
    <s v="PO-1099"/>
    <x v="0"/>
    <x v="4"/>
    <s v="IN-West"/>
    <d v="2024-07-11T00:00:00"/>
    <d v="2024-08-01T00:00:00"/>
    <d v="2024-07-31T00:00:00"/>
    <n v="1971"/>
    <n v="1760"/>
    <s v="Delivered"/>
    <x v="99"/>
    <n v="21"/>
    <n v="-1"/>
    <n v="0"/>
    <x v="0"/>
  </r>
  <r>
    <s v="PO-1100"/>
    <x v="0"/>
    <x v="1"/>
    <s v="APAC"/>
    <d v="2024-07-14T00:00:00"/>
    <d v="2024-07-20T00:00:00"/>
    <d v="2024-07-19T00:00:00"/>
    <n v="1475"/>
    <n v="1395"/>
    <s v="Delivered"/>
    <x v="100"/>
    <n v="6"/>
    <n v="-1"/>
    <n v="0"/>
    <x v="0"/>
  </r>
  <r>
    <s v="PO-1101"/>
    <x v="7"/>
    <x v="2"/>
    <s v="IN-North"/>
    <d v="2024-07-09T00:00:00"/>
    <d v="2024-07-16T00:00:00"/>
    <d v="2024-07-20T00:00:00"/>
    <n v="1630"/>
    <n v="1546"/>
    <s v="Delivered"/>
    <x v="101"/>
    <n v="7"/>
    <n v="4"/>
    <n v="0"/>
    <x v="2"/>
  </r>
  <r>
    <s v="PO-1102"/>
    <x v="0"/>
    <x v="1"/>
    <s v="IN-North"/>
    <d v="2024-07-23T00:00:00"/>
    <d v="2024-07-29T00:00:00"/>
    <d v="2024-07-27T00:00:00"/>
    <n v="1331"/>
    <n v="1157"/>
    <s v="Delivered"/>
    <x v="102"/>
    <n v="6"/>
    <n v="-2"/>
    <n v="0"/>
    <x v="0"/>
  </r>
  <r>
    <s v="PO-1103"/>
    <x v="1"/>
    <x v="4"/>
    <s v="IN-West"/>
    <d v="2024-08-21T00:00:00"/>
    <d v="2024-09-11T00:00:00"/>
    <d v="2024-09-11T00:00:00"/>
    <n v="797"/>
    <n v="710"/>
    <s v="Delivered"/>
    <x v="103"/>
    <n v="21"/>
    <n v="0"/>
    <n v="0"/>
    <x v="0"/>
  </r>
  <r>
    <s v="PO-1104"/>
    <x v="6"/>
    <x v="4"/>
    <s v="APAC"/>
    <d v="2024-08-16T00:00:00"/>
    <d v="2024-09-06T00:00:00"/>
    <d v="2024-09-04T00:00:00"/>
    <n v="985"/>
    <n v="905"/>
    <s v="Delivered"/>
    <x v="104"/>
    <n v="21"/>
    <n v="-2"/>
    <n v="0"/>
    <x v="1"/>
  </r>
  <r>
    <s v="PO-1105"/>
    <x v="5"/>
    <x v="2"/>
    <s v="IN-South"/>
    <d v="2024-08-25T00:00:00"/>
    <d v="2024-09-01T00:00:00"/>
    <d v="2024-09-01T00:00:00"/>
    <n v="747"/>
    <n v="733"/>
    <s v="Delivered"/>
    <x v="105"/>
    <n v="7"/>
    <n v="0"/>
    <n v="1"/>
    <x v="1"/>
  </r>
  <r>
    <s v="PO-1106"/>
    <x v="6"/>
    <x v="0"/>
    <s v="APAC"/>
    <d v="2024-08-28T00:00:00"/>
    <d v="2024-09-15T00:00:00"/>
    <d v="2024-09-14T00:00:00"/>
    <n v="906"/>
    <n v="845"/>
    <s v="Delivered"/>
    <x v="106"/>
    <n v="18"/>
    <n v="-1"/>
    <n v="0"/>
    <x v="1"/>
  </r>
  <r>
    <s v="PO-1107"/>
    <x v="3"/>
    <x v="4"/>
    <s v="IN-South"/>
    <d v="2024-08-28T00:00:00"/>
    <d v="2024-09-18T00:00:00"/>
    <d v="2024-09-28T00:00:00"/>
    <n v="1371"/>
    <n v="1286"/>
    <s v="Delivered"/>
    <x v="107"/>
    <n v="21"/>
    <n v="10"/>
    <n v="0"/>
    <x v="2"/>
  </r>
  <r>
    <s v="PO-1108"/>
    <x v="3"/>
    <x v="2"/>
    <s v="IN-South"/>
    <d v="2024-08-24T00:00:00"/>
    <d v="2024-08-31T00:00:00"/>
    <d v="2024-09-04T00:00:00"/>
    <n v="990"/>
    <n v="988"/>
    <s v="Delivered"/>
    <x v="108"/>
    <n v="7"/>
    <n v="4"/>
    <n v="0"/>
    <x v="2"/>
  </r>
  <r>
    <s v="PO-1109"/>
    <x v="5"/>
    <x v="4"/>
    <s v="IN-West"/>
    <d v="2024-08-05T00:00:00"/>
    <d v="2024-08-26T00:00:00"/>
    <d v="2024-08-30T00:00:00"/>
    <n v="404"/>
    <n v="384"/>
    <s v="Delivered"/>
    <x v="109"/>
    <n v="21"/>
    <n v="4"/>
    <n v="0"/>
    <x v="1"/>
  </r>
  <r>
    <s v="PO-1110"/>
    <x v="7"/>
    <x v="2"/>
    <s v="IN-North"/>
    <d v="2024-08-14T00:00:00"/>
    <d v="2024-08-21T00:00:00"/>
    <d v="2024-08-20T00:00:00"/>
    <n v="893"/>
    <n v="859"/>
    <s v="Delivered"/>
    <x v="110"/>
    <n v="7"/>
    <n v="-1"/>
    <n v="1"/>
    <x v="2"/>
  </r>
  <r>
    <s v="PO-1111"/>
    <x v="3"/>
    <x v="2"/>
    <s v="IN-South"/>
    <d v="2024-08-28T00:00:00"/>
    <d v="2024-09-04T00:00:00"/>
    <d v="2024-09-18T00:00:00"/>
    <n v="1986"/>
    <n v="1894"/>
    <s v="Delivered"/>
    <x v="111"/>
    <n v="7"/>
    <n v="14"/>
    <n v="0"/>
    <x v="2"/>
  </r>
  <r>
    <s v="PO-1112"/>
    <x v="1"/>
    <x v="3"/>
    <s v="IN-South"/>
    <d v="2024-08-08T00:00:00"/>
    <d v="2024-08-13T00:00:00"/>
    <d v="2024-08-11T00:00:00"/>
    <n v="1757"/>
    <n v="1615"/>
    <s v="Delivered"/>
    <x v="112"/>
    <n v="5"/>
    <n v="-2"/>
    <n v="0"/>
    <x v="0"/>
  </r>
  <r>
    <s v="PO-1113"/>
    <x v="1"/>
    <x v="4"/>
    <s v="IN-North"/>
    <d v="2024-08-23T00:00:00"/>
    <d v="2024-09-13T00:00:00"/>
    <d v="2024-09-14T00:00:00"/>
    <n v="864"/>
    <n v="825"/>
    <s v="Delivered"/>
    <x v="113"/>
    <n v="21"/>
    <n v="1"/>
    <n v="0"/>
    <x v="0"/>
  </r>
  <r>
    <s v="PO-1114"/>
    <x v="6"/>
    <x v="0"/>
    <s v="IN-South"/>
    <d v="2024-08-14T00:00:00"/>
    <d v="2024-09-01T00:00:00"/>
    <d v="2024-08-31T00:00:00"/>
    <n v="1359"/>
    <n v="1315"/>
    <s v="Delivered"/>
    <x v="114"/>
    <n v="18"/>
    <n v="-1"/>
    <n v="1"/>
    <x v="1"/>
  </r>
  <r>
    <s v="PO-1115"/>
    <x v="5"/>
    <x v="3"/>
    <s v="IN-North"/>
    <d v="2024-08-03T00:00:00"/>
    <d v="2024-08-08T00:00:00"/>
    <d v="2024-08-06T00:00:00"/>
    <n v="1219"/>
    <n v="1208"/>
    <s v="Delivered"/>
    <x v="115"/>
    <n v="5"/>
    <n v="-2"/>
    <n v="1"/>
    <x v="1"/>
  </r>
  <r>
    <s v="PO-1116"/>
    <x v="5"/>
    <x v="3"/>
    <s v="APAC"/>
    <d v="2024-08-21T00:00:00"/>
    <d v="2024-08-26T00:00:00"/>
    <d v="2024-08-26T00:00:00"/>
    <n v="219"/>
    <n v="216"/>
    <s v="Delivered"/>
    <x v="116"/>
    <n v="5"/>
    <n v="0"/>
    <n v="1"/>
    <x v="1"/>
  </r>
  <r>
    <s v="PO-1117"/>
    <x v="7"/>
    <x v="0"/>
    <s v="IN-North"/>
    <d v="2024-08-03T00:00:00"/>
    <d v="2024-08-21T00:00:00"/>
    <d v="2024-08-26T00:00:00"/>
    <n v="812"/>
    <n v="782"/>
    <s v="Delivered"/>
    <x v="117"/>
    <n v="18"/>
    <n v="5"/>
    <n v="0"/>
    <x v="2"/>
  </r>
  <r>
    <s v="PO-1118"/>
    <x v="3"/>
    <x v="0"/>
    <s v="APAC"/>
    <d v="2024-08-28T00:00:00"/>
    <d v="2024-09-15T00:00:00"/>
    <d v="2024-09-14T00:00:00"/>
    <n v="1947"/>
    <n v="1846"/>
    <s v="Delivered"/>
    <x v="118"/>
    <n v="18"/>
    <n v="-1"/>
    <n v="0"/>
    <x v="2"/>
  </r>
  <r>
    <s v="PO-1119"/>
    <x v="2"/>
    <x v="4"/>
    <s v="IN-South"/>
    <d v="2024-08-19T00:00:00"/>
    <d v="2024-09-09T00:00:00"/>
    <d v="2024-09-20T00:00:00"/>
    <n v="244"/>
    <n v="243"/>
    <s v="Delivered"/>
    <x v="119"/>
    <n v="21"/>
    <n v="11"/>
    <n v="0"/>
    <x v="1"/>
  </r>
  <r>
    <s v="PO-1120"/>
    <x v="3"/>
    <x v="0"/>
    <s v="IN-West"/>
    <d v="2024-08-19T00:00:00"/>
    <d v="2024-09-06T00:00:00"/>
    <d v="2024-09-12T00:00:00"/>
    <n v="1217"/>
    <n v="1196"/>
    <s v="Delivered"/>
    <x v="120"/>
    <n v="18"/>
    <n v="6"/>
    <n v="0"/>
    <x v="2"/>
  </r>
  <r>
    <s v="PO-1121"/>
    <x v="6"/>
    <x v="3"/>
    <s v="IN-South"/>
    <d v="2024-08-08T00:00:00"/>
    <d v="2024-08-13T00:00:00"/>
    <d v="2024-08-13T00:00:00"/>
    <n v="1747"/>
    <n v="1698"/>
    <s v="Delivered"/>
    <x v="121"/>
    <n v="5"/>
    <n v="0"/>
    <n v="1"/>
    <x v="1"/>
  </r>
  <r>
    <s v="PO-1122"/>
    <x v="5"/>
    <x v="2"/>
    <s v="IN-West"/>
    <d v="2024-08-10T00:00:00"/>
    <d v="2024-08-17T00:00:00"/>
    <d v="2024-08-16T00:00:00"/>
    <n v="1699"/>
    <n v="1551"/>
    <s v="Delivered"/>
    <x v="122"/>
    <n v="7"/>
    <n v="-1"/>
    <n v="0"/>
    <x v="1"/>
  </r>
  <r>
    <s v="PO-1123"/>
    <x v="6"/>
    <x v="0"/>
    <s v="APAC"/>
    <d v="2024-08-06T00:00:00"/>
    <d v="2024-08-24T00:00:00"/>
    <d v="2024-08-24T00:00:00"/>
    <n v="1994"/>
    <n v="1988"/>
    <s v="Delivered"/>
    <x v="123"/>
    <n v="18"/>
    <n v="0"/>
    <n v="1"/>
    <x v="1"/>
  </r>
  <r>
    <s v="PO-1124"/>
    <x v="6"/>
    <x v="3"/>
    <s v="IN-South"/>
    <d v="2024-08-27T00:00:00"/>
    <d v="2024-09-01T00:00:00"/>
    <d v="2024-09-12T00:00:00"/>
    <n v="1728"/>
    <n v="1705"/>
    <s v="Delivered"/>
    <x v="124"/>
    <n v="5"/>
    <n v="11"/>
    <n v="0"/>
    <x v="1"/>
  </r>
  <r>
    <s v="PO-1125"/>
    <x v="1"/>
    <x v="4"/>
    <s v="IN-West"/>
    <d v="2024-08-05T00:00:00"/>
    <d v="2024-08-26T00:00:00"/>
    <d v="2024-09-01T00:00:00"/>
    <n v="1581"/>
    <n v="1574"/>
    <s v="Delivered"/>
    <x v="125"/>
    <n v="21"/>
    <n v="6"/>
    <n v="0"/>
    <x v="0"/>
  </r>
  <r>
    <s v="PO-1126"/>
    <x v="4"/>
    <x v="2"/>
    <s v="APAC"/>
    <d v="2024-08-01T00:00:00"/>
    <d v="2024-08-08T00:00:00"/>
    <d v="2024-08-07T00:00:00"/>
    <n v="954"/>
    <n v="922"/>
    <s v="Delivered"/>
    <x v="126"/>
    <n v="7"/>
    <n v="-1"/>
    <n v="1"/>
    <x v="2"/>
  </r>
  <r>
    <s v="PO-1127"/>
    <x v="6"/>
    <x v="1"/>
    <s v="APAC"/>
    <d v="2024-08-27T00:00:00"/>
    <d v="2024-09-02T00:00:00"/>
    <d v="2024-08-31T00:00:00"/>
    <n v="1165"/>
    <n v="1051"/>
    <s v="Delivered"/>
    <x v="127"/>
    <n v="6"/>
    <n v="-2"/>
    <n v="0"/>
    <x v="1"/>
  </r>
  <r>
    <s v="PO-1128"/>
    <x v="4"/>
    <x v="1"/>
    <s v="IN-North"/>
    <d v="2024-08-21T00:00:00"/>
    <d v="2024-08-27T00:00:00"/>
    <d v="2024-08-26T00:00:00"/>
    <n v="1635"/>
    <n v="1520"/>
    <s v="Delivered"/>
    <x v="128"/>
    <n v="6"/>
    <n v="-1"/>
    <n v="0"/>
    <x v="2"/>
  </r>
  <r>
    <s v="PO-1129"/>
    <x v="3"/>
    <x v="2"/>
    <s v="IN-North"/>
    <d v="2024-08-02T00:00:00"/>
    <d v="2024-08-09T00:00:00"/>
    <d v="2024-08-08T00:00:00"/>
    <n v="437"/>
    <n v="397"/>
    <s v="Delivered"/>
    <x v="129"/>
    <n v="7"/>
    <n v="-1"/>
    <n v="0"/>
    <x v="2"/>
  </r>
  <r>
    <s v="PO-1130"/>
    <x v="5"/>
    <x v="4"/>
    <s v="APAC"/>
    <d v="2024-08-12T00:00:00"/>
    <d v="2024-09-02T00:00:00"/>
    <d v="2024-09-02T00:00:00"/>
    <n v="516"/>
    <n v="510"/>
    <s v="Delivered"/>
    <x v="130"/>
    <n v="21"/>
    <n v="0"/>
    <n v="1"/>
    <x v="1"/>
  </r>
  <r>
    <s v="PO-1131"/>
    <x v="1"/>
    <x v="4"/>
    <s v="APAC"/>
    <d v="2024-08-09T00:00:00"/>
    <d v="2024-08-30T00:00:00"/>
    <d v="2024-08-28T00:00:00"/>
    <n v="1108"/>
    <n v="972"/>
    <s v="Delivered"/>
    <x v="131"/>
    <n v="21"/>
    <n v="-2"/>
    <n v="0"/>
    <x v="0"/>
  </r>
  <r>
    <s v="PO-1132"/>
    <x v="2"/>
    <x v="0"/>
    <s v="IN-West"/>
    <d v="2024-08-22T00:00:00"/>
    <d v="2024-09-09T00:00:00"/>
    <d v="2024-09-09T00:00:00"/>
    <n v="934"/>
    <n v="846"/>
    <s v="Delivered"/>
    <x v="132"/>
    <n v="18"/>
    <n v="0"/>
    <n v="0"/>
    <x v="1"/>
  </r>
  <r>
    <s v="PO-1133"/>
    <x v="6"/>
    <x v="3"/>
    <s v="IN-West"/>
    <d v="2024-08-28T00:00:00"/>
    <d v="2024-09-02T00:00:00"/>
    <d v="2024-08-31T00:00:00"/>
    <n v="1514"/>
    <n v="1459"/>
    <s v="Delivered"/>
    <x v="133"/>
    <n v="5"/>
    <n v="-2"/>
    <n v="1"/>
    <x v="1"/>
  </r>
  <r>
    <s v="PO-1134"/>
    <x v="0"/>
    <x v="2"/>
    <s v="IN-South"/>
    <d v="2024-08-08T00:00:00"/>
    <d v="2024-08-15T00:00:00"/>
    <d v="2024-08-17T00:00:00"/>
    <n v="340"/>
    <n v="327"/>
    <s v="Delivered"/>
    <x v="134"/>
    <n v="7"/>
    <n v="2"/>
    <n v="0"/>
    <x v="0"/>
  </r>
  <r>
    <s v="PO-1135"/>
    <x v="2"/>
    <x v="1"/>
    <s v="IN-North"/>
    <d v="2024-08-27T00:00:00"/>
    <d v="2024-09-02T00:00:00"/>
    <d v="2024-08-31T00:00:00"/>
    <n v="1815"/>
    <n v="1796"/>
    <s v="Delivered"/>
    <x v="135"/>
    <n v="6"/>
    <n v="-2"/>
    <n v="1"/>
    <x v="1"/>
  </r>
  <r>
    <s v="PO-1136"/>
    <x v="0"/>
    <x v="0"/>
    <s v="IN-North"/>
    <d v="2024-08-05T00:00:00"/>
    <d v="2024-08-23T00:00:00"/>
    <d v="2024-08-24T00:00:00"/>
    <n v="1553"/>
    <n v="1507"/>
    <s v="Delivered"/>
    <x v="136"/>
    <n v="18"/>
    <n v="1"/>
    <n v="0"/>
    <x v="0"/>
  </r>
  <r>
    <s v="PO-1137"/>
    <x v="5"/>
    <x v="2"/>
    <s v="IN-South"/>
    <d v="2024-08-26T00:00:00"/>
    <d v="2024-09-02T00:00:00"/>
    <d v="2024-08-31T00:00:00"/>
    <n v="556"/>
    <n v="515"/>
    <s v="Delivered"/>
    <x v="137"/>
    <n v="7"/>
    <n v="-2"/>
    <n v="0"/>
    <x v="1"/>
  </r>
  <r>
    <s v="PO-1138"/>
    <x v="5"/>
    <x v="4"/>
    <s v="IN-West"/>
    <d v="2024-08-24T00:00:00"/>
    <d v="2024-09-14T00:00:00"/>
    <d v="2024-09-13T00:00:00"/>
    <n v="1251"/>
    <n v="1200"/>
    <s v="Delivered"/>
    <x v="138"/>
    <n v="21"/>
    <n v="-1"/>
    <n v="1"/>
    <x v="1"/>
  </r>
  <r>
    <s v="PO-1139"/>
    <x v="7"/>
    <x v="1"/>
    <s v="IN-North"/>
    <d v="2024-08-20T00:00:00"/>
    <d v="2024-08-26T00:00:00"/>
    <d v="2024-09-01T00:00:00"/>
    <n v="1267"/>
    <n v="1178"/>
    <s v="Delivered"/>
    <x v="139"/>
    <n v="6"/>
    <n v="6"/>
    <n v="0"/>
    <x v="2"/>
  </r>
  <r>
    <s v="PO-1140"/>
    <x v="0"/>
    <x v="2"/>
    <s v="APAC"/>
    <d v="2024-08-28T00:00:00"/>
    <d v="2024-09-04T00:00:00"/>
    <d v="2024-09-02T00:00:00"/>
    <n v="1204"/>
    <n v="1127"/>
    <s v="Delivered"/>
    <x v="140"/>
    <n v="7"/>
    <n v="-2"/>
    <n v="0"/>
    <x v="0"/>
  </r>
  <r>
    <s v="PO-1141"/>
    <x v="7"/>
    <x v="2"/>
    <s v="IN-West"/>
    <d v="2024-08-11T00:00:00"/>
    <d v="2024-08-18T00:00:00"/>
    <d v="2024-08-17T00:00:00"/>
    <n v="1478"/>
    <n v="1423"/>
    <s v="Delivered"/>
    <x v="141"/>
    <n v="7"/>
    <n v="-1"/>
    <n v="1"/>
    <x v="2"/>
  </r>
  <r>
    <s v="PO-1142"/>
    <x v="4"/>
    <x v="4"/>
    <s v="IN-South"/>
    <d v="2024-08-15T00:00:00"/>
    <d v="2024-09-05T00:00:00"/>
    <d v="2024-09-05T00:00:00"/>
    <n v="434"/>
    <n v="427"/>
    <s v="Delivered"/>
    <x v="142"/>
    <n v="21"/>
    <n v="0"/>
    <n v="1"/>
    <x v="2"/>
  </r>
  <r>
    <s v="PO-1143"/>
    <x v="2"/>
    <x v="4"/>
    <s v="APAC"/>
    <d v="2024-08-08T00:00:00"/>
    <d v="2024-08-29T00:00:00"/>
    <d v="2024-08-28T00:00:00"/>
    <n v="1016"/>
    <n v="956"/>
    <s v="Delivered"/>
    <x v="143"/>
    <n v="21"/>
    <n v="-1"/>
    <n v="0"/>
    <x v="1"/>
  </r>
  <r>
    <s v="PO-1144"/>
    <x v="1"/>
    <x v="0"/>
    <s v="APAC"/>
    <d v="2024-08-11T00:00:00"/>
    <d v="2024-08-29T00:00:00"/>
    <d v="2024-08-27T00:00:00"/>
    <n v="1606"/>
    <n v="1578"/>
    <s v="Delivered"/>
    <x v="144"/>
    <n v="18"/>
    <n v="-2"/>
    <n v="1"/>
    <x v="0"/>
  </r>
  <r>
    <s v="PO-1145"/>
    <x v="1"/>
    <x v="2"/>
    <s v="IN-West"/>
    <d v="2024-08-03T00:00:00"/>
    <d v="2024-08-10T00:00:00"/>
    <d v="2024-08-10T00:00:00"/>
    <n v="963"/>
    <n v="923"/>
    <s v="Delivered"/>
    <x v="145"/>
    <n v="7"/>
    <n v="0"/>
    <n v="1"/>
    <x v="0"/>
  </r>
  <r>
    <s v="PO-1146"/>
    <x v="0"/>
    <x v="1"/>
    <s v="IN-South"/>
    <d v="2024-08-22T00:00:00"/>
    <d v="2024-08-28T00:00:00"/>
    <d v="2024-08-28T00:00:00"/>
    <n v="1736"/>
    <n v="1515"/>
    <s v="Delivered"/>
    <x v="146"/>
    <n v="6"/>
    <n v="0"/>
    <n v="0"/>
    <x v="0"/>
  </r>
  <r>
    <s v="PO-1147"/>
    <x v="0"/>
    <x v="0"/>
    <s v="IN-South"/>
    <d v="2024-08-12T00:00:00"/>
    <d v="2024-08-30T00:00:00"/>
    <d v="2024-08-28T00:00:00"/>
    <n v="516"/>
    <n v="477"/>
    <s v="Delivered"/>
    <x v="147"/>
    <n v="18"/>
    <n v="-2"/>
    <n v="0"/>
    <x v="0"/>
  </r>
  <r>
    <s v="PO-1148"/>
    <x v="2"/>
    <x v="2"/>
    <s v="IN-South"/>
    <d v="2024-08-28T00:00:00"/>
    <d v="2024-09-04T00:00:00"/>
    <d v="2024-09-03T00:00:00"/>
    <n v="1375"/>
    <n v="1268"/>
    <s v="Delivered"/>
    <x v="148"/>
    <n v="7"/>
    <n v="-1"/>
    <n v="0"/>
    <x v="1"/>
  </r>
  <r>
    <s v="PO-1149"/>
    <x v="3"/>
    <x v="1"/>
    <s v="IN-West"/>
    <d v="2024-08-20T00:00:00"/>
    <d v="2024-08-26T00:00:00"/>
    <d v="2024-08-25T00:00:00"/>
    <n v="1639"/>
    <n v="1600"/>
    <s v="Delivered"/>
    <x v="149"/>
    <n v="6"/>
    <n v="-1"/>
    <n v="1"/>
    <x v="2"/>
  </r>
  <r>
    <s v="PO-1150"/>
    <x v="4"/>
    <x v="0"/>
    <s v="IN-West"/>
    <d v="2024-08-06T00:00:00"/>
    <d v="2024-08-24T00:00:00"/>
    <d v="2024-08-23T00:00:00"/>
    <n v="342"/>
    <n v="312"/>
    <s v="Delivered"/>
    <x v="150"/>
    <n v="18"/>
    <n v="-1"/>
    <n v="0"/>
    <x v="2"/>
  </r>
  <r>
    <s v="PO-1151"/>
    <x v="0"/>
    <x v="2"/>
    <s v="IN-North"/>
    <d v="2024-08-13T00:00:00"/>
    <d v="2024-08-20T00:00:00"/>
    <d v="2024-08-18T00:00:00"/>
    <n v="957"/>
    <n v="812"/>
    <s v="Delivered"/>
    <x v="151"/>
    <n v="7"/>
    <n v="-2"/>
    <n v="0"/>
    <x v="0"/>
  </r>
  <r>
    <s v="PO-1152"/>
    <x v="4"/>
    <x v="1"/>
    <s v="IN-West"/>
    <d v="2024-08-02T00:00:00"/>
    <d v="2024-08-08T00:00:00"/>
    <d v="2024-08-08T00:00:00"/>
    <n v="301"/>
    <n v="291"/>
    <s v="Delivered"/>
    <x v="152"/>
    <n v="6"/>
    <n v="0"/>
    <n v="1"/>
    <x v="2"/>
  </r>
  <r>
    <s v="PO-1153"/>
    <x v="6"/>
    <x v="4"/>
    <s v="APAC"/>
    <d v="2024-08-16T00:00:00"/>
    <d v="2024-09-06T00:00:00"/>
    <d v="2024-09-04T00:00:00"/>
    <n v="1746"/>
    <n v="1660"/>
    <s v="Delivered"/>
    <x v="153"/>
    <n v="21"/>
    <n v="-2"/>
    <n v="1"/>
    <x v="1"/>
  </r>
  <r>
    <s v="PO-1154"/>
    <x v="4"/>
    <x v="4"/>
    <s v="IN-West"/>
    <d v="2024-08-10T00:00:00"/>
    <d v="2024-08-31T00:00:00"/>
    <d v="2024-08-30T00:00:00"/>
    <n v="293"/>
    <n v="270"/>
    <s v="Delivered"/>
    <x v="154"/>
    <n v="21"/>
    <n v="-1"/>
    <n v="0"/>
    <x v="2"/>
  </r>
  <r>
    <s v="PO-1155"/>
    <x v="0"/>
    <x v="2"/>
    <s v="IN-North"/>
    <d v="2024-08-10T00:00:00"/>
    <d v="2024-08-17T00:00:00"/>
    <d v="2024-08-20T00:00:00"/>
    <n v="792"/>
    <n v="674"/>
    <s v="Delivered"/>
    <x v="155"/>
    <n v="7"/>
    <n v="3"/>
    <n v="0"/>
    <x v="0"/>
  </r>
  <r>
    <s v="PO-1156"/>
    <x v="0"/>
    <x v="4"/>
    <s v="APAC"/>
    <d v="2024-08-06T00:00:00"/>
    <d v="2024-08-27T00:00:00"/>
    <d v="2024-08-27T00:00:00"/>
    <n v="671"/>
    <n v="597"/>
    <s v="Delivered"/>
    <x v="156"/>
    <n v="21"/>
    <n v="0"/>
    <n v="0"/>
    <x v="0"/>
  </r>
  <r>
    <s v="PO-1157"/>
    <x v="4"/>
    <x v="2"/>
    <s v="APAC"/>
    <d v="2024-08-28T00:00:00"/>
    <d v="2024-09-04T00:00:00"/>
    <d v="2024-09-03T00:00:00"/>
    <n v="359"/>
    <n v="354"/>
    <s v="Delivered"/>
    <x v="157"/>
    <n v="7"/>
    <n v="-1"/>
    <n v="1"/>
    <x v="2"/>
  </r>
  <r>
    <s v="PO-1158"/>
    <x v="3"/>
    <x v="1"/>
    <s v="APAC"/>
    <d v="2024-08-23T00:00:00"/>
    <d v="2024-08-29T00:00:00"/>
    <d v="2024-08-28T00:00:00"/>
    <n v="242"/>
    <n v="241"/>
    <s v="Delivered"/>
    <x v="158"/>
    <n v="6"/>
    <n v="-1"/>
    <n v="1"/>
    <x v="2"/>
  </r>
  <r>
    <s v="PO-1159"/>
    <x v="5"/>
    <x v="1"/>
    <s v="APAC"/>
    <d v="2024-08-27T00:00:00"/>
    <d v="2024-09-02T00:00:00"/>
    <d v="2024-08-31T00:00:00"/>
    <n v="698"/>
    <n v="658"/>
    <s v="Delivered"/>
    <x v="159"/>
    <n v="6"/>
    <n v="-2"/>
    <n v="0"/>
    <x v="1"/>
  </r>
  <r>
    <s v="PO-1160"/>
    <x v="3"/>
    <x v="1"/>
    <s v="IN-West"/>
    <d v="2024-08-13T00:00:00"/>
    <d v="2024-08-19T00:00:00"/>
    <d v="2024-08-21T00:00:00"/>
    <n v="882"/>
    <n v="862"/>
    <s v="Delivered"/>
    <x v="160"/>
    <n v="6"/>
    <n v="2"/>
    <n v="0"/>
    <x v="2"/>
  </r>
  <r>
    <s v="PO-1161"/>
    <x v="1"/>
    <x v="1"/>
    <s v="IN-West"/>
    <d v="2024-08-17T00:00:00"/>
    <d v="2024-08-23T00:00:00"/>
    <d v="2024-08-26T00:00:00"/>
    <n v="919"/>
    <n v="863"/>
    <s v="Delivered"/>
    <x v="161"/>
    <n v="6"/>
    <n v="3"/>
    <n v="0"/>
    <x v="0"/>
  </r>
  <r>
    <s v="PO-1162"/>
    <x v="5"/>
    <x v="3"/>
    <s v="IN-West"/>
    <d v="2024-08-05T00:00:00"/>
    <d v="2024-08-10T00:00:00"/>
    <d v="2024-08-10T00:00:00"/>
    <n v="513"/>
    <n v="500"/>
    <s v="Delivered"/>
    <x v="162"/>
    <n v="5"/>
    <n v="0"/>
    <n v="1"/>
    <x v="1"/>
  </r>
  <r>
    <s v="PO-1163"/>
    <x v="1"/>
    <x v="3"/>
    <s v="APAC"/>
    <d v="2024-08-15T00:00:00"/>
    <d v="2024-08-20T00:00:00"/>
    <d v="2024-08-20T00:00:00"/>
    <n v="1516"/>
    <n v="1394"/>
    <s v="Delivered"/>
    <x v="163"/>
    <n v="5"/>
    <n v="0"/>
    <n v="0"/>
    <x v="0"/>
  </r>
  <r>
    <s v="PO-1164"/>
    <x v="4"/>
    <x v="0"/>
    <s v="IN-North"/>
    <d v="2024-08-15T00:00:00"/>
    <d v="2024-09-02T00:00:00"/>
    <d v="2024-09-02T00:00:00"/>
    <n v="820"/>
    <n v="803"/>
    <s v="Delivered"/>
    <x v="164"/>
    <n v="18"/>
    <n v="0"/>
    <n v="1"/>
    <x v="2"/>
  </r>
  <r>
    <s v="PO-1165"/>
    <x v="0"/>
    <x v="0"/>
    <s v="IN-West"/>
    <d v="2024-08-10T00:00:00"/>
    <d v="2024-08-28T00:00:00"/>
    <d v="2024-08-26T00:00:00"/>
    <n v="955"/>
    <n v="919"/>
    <s v="Delivered"/>
    <x v="165"/>
    <n v="18"/>
    <n v="-2"/>
    <n v="1"/>
    <x v="0"/>
  </r>
  <r>
    <s v="PO-1166"/>
    <x v="1"/>
    <x v="2"/>
    <s v="APAC"/>
    <d v="2024-08-15T00:00:00"/>
    <d v="2024-08-22T00:00:00"/>
    <d v="2024-08-22T00:00:00"/>
    <n v="1534"/>
    <n v="1260"/>
    <s v="Delivered"/>
    <x v="166"/>
    <n v="7"/>
    <n v="0"/>
    <n v="0"/>
    <x v="0"/>
  </r>
  <r>
    <s v="PO-1167"/>
    <x v="7"/>
    <x v="1"/>
    <s v="IN-North"/>
    <d v="2024-08-02T00:00:00"/>
    <d v="2024-08-08T00:00:00"/>
    <d v="2024-08-07T00:00:00"/>
    <n v="1662"/>
    <n v="1509"/>
    <s v="Delivered"/>
    <x v="167"/>
    <n v="6"/>
    <n v="-1"/>
    <n v="0"/>
    <x v="2"/>
  </r>
  <r>
    <s v="PO-1168"/>
    <x v="5"/>
    <x v="2"/>
    <s v="IN-North"/>
    <d v="2024-08-23T00:00:00"/>
    <d v="2024-08-30T00:00:00"/>
    <d v="2024-09-14T00:00:00"/>
    <n v="1270"/>
    <n v="1220"/>
    <s v="Delivered"/>
    <x v="168"/>
    <n v="7"/>
    <n v="15"/>
    <n v="0"/>
    <x v="1"/>
  </r>
  <r>
    <s v="PO-1169"/>
    <x v="4"/>
    <x v="0"/>
    <s v="IN-South"/>
    <d v="2024-08-13T00:00:00"/>
    <d v="2024-08-31T00:00:00"/>
    <d v="2024-09-06T00:00:00"/>
    <n v="1424"/>
    <n v="1289"/>
    <s v="Delivered"/>
    <x v="169"/>
    <n v="18"/>
    <n v="6"/>
    <n v="0"/>
    <x v="2"/>
  </r>
  <r>
    <s v="PO-1170"/>
    <x v="4"/>
    <x v="2"/>
    <s v="IN-South"/>
    <d v="2024-08-04T00:00:00"/>
    <d v="2024-08-11T00:00:00"/>
    <d v="2024-08-11T00:00:00"/>
    <n v="1944"/>
    <n v="1877"/>
    <s v="Delivered"/>
    <x v="170"/>
    <n v="7"/>
    <n v="0"/>
    <n v="1"/>
    <x v="2"/>
  </r>
  <r>
    <s v="PO-1171"/>
    <x v="5"/>
    <x v="0"/>
    <s v="IN-West"/>
    <d v="2024-08-19T00:00:00"/>
    <d v="2024-09-06T00:00:00"/>
    <d v="2024-09-09T00:00:00"/>
    <n v="1543"/>
    <n v="1496"/>
    <s v="Delivered"/>
    <x v="171"/>
    <n v="18"/>
    <n v="3"/>
    <n v="0"/>
    <x v="1"/>
  </r>
  <r>
    <s v="PO-1172"/>
    <x v="3"/>
    <x v="3"/>
    <s v="IN-West"/>
    <d v="2024-08-10T00:00:00"/>
    <d v="2024-08-15T00:00:00"/>
    <d v="2024-08-14T00:00:00"/>
    <n v="1865"/>
    <n v="1702"/>
    <s v="Delivered"/>
    <x v="172"/>
    <n v="5"/>
    <n v="-1"/>
    <n v="0"/>
    <x v="2"/>
  </r>
  <r>
    <s v="PO-1173"/>
    <x v="1"/>
    <x v="4"/>
    <s v="IN-South"/>
    <d v="2024-08-01T00:00:00"/>
    <d v="2024-08-22T00:00:00"/>
    <d v="2024-08-20T00:00:00"/>
    <n v="899"/>
    <n v="888"/>
    <s v="Delivered"/>
    <x v="173"/>
    <n v="21"/>
    <n v="-2"/>
    <n v="1"/>
    <x v="0"/>
  </r>
  <r>
    <s v="PO-1174"/>
    <x v="7"/>
    <x v="3"/>
    <s v="IN-North"/>
    <d v="2024-08-05T00:00:00"/>
    <d v="2024-08-10T00:00:00"/>
    <d v="2024-08-08T00:00:00"/>
    <n v="1239"/>
    <n v="1210"/>
    <s v="Delivered"/>
    <x v="174"/>
    <n v="5"/>
    <n v="-2"/>
    <n v="1"/>
    <x v="2"/>
  </r>
  <r>
    <s v="PO-1175"/>
    <x v="0"/>
    <x v="0"/>
    <s v="IN-North"/>
    <d v="2024-08-20T00:00:00"/>
    <d v="2024-09-07T00:00:00"/>
    <d v="2024-09-05T00:00:00"/>
    <n v="1902"/>
    <n v="1773"/>
    <s v="Delivered"/>
    <x v="175"/>
    <n v="18"/>
    <n v="-2"/>
    <n v="0"/>
    <x v="0"/>
  </r>
  <r>
    <s v="PO-1176"/>
    <x v="5"/>
    <x v="4"/>
    <s v="IN-West"/>
    <d v="2024-08-14T00:00:00"/>
    <d v="2024-09-04T00:00:00"/>
    <d v="2024-09-02T00:00:00"/>
    <n v="1109"/>
    <n v="1065"/>
    <s v="Delivered"/>
    <x v="176"/>
    <n v="21"/>
    <n v="-2"/>
    <n v="1"/>
    <x v="1"/>
  </r>
  <r>
    <s v="PO-1177"/>
    <x v="7"/>
    <x v="3"/>
    <s v="IN-North"/>
    <d v="2024-08-10T00:00:00"/>
    <d v="2024-08-15T00:00:00"/>
    <d v="2024-08-17T00:00:00"/>
    <n v="953"/>
    <n v="922"/>
    <s v="Delivered"/>
    <x v="177"/>
    <n v="5"/>
    <n v="2"/>
    <n v="0"/>
    <x v="2"/>
  </r>
  <r>
    <s v="PO-1178"/>
    <x v="7"/>
    <x v="4"/>
    <s v="IN-South"/>
    <d v="2024-08-25T00:00:00"/>
    <d v="2024-09-15T00:00:00"/>
    <d v="2024-09-14T00:00:00"/>
    <n v="531"/>
    <n v="521"/>
    <s v="Delivered"/>
    <x v="178"/>
    <n v="21"/>
    <n v="-1"/>
    <n v="1"/>
    <x v="2"/>
  </r>
  <r>
    <s v="PO-1179"/>
    <x v="5"/>
    <x v="0"/>
    <s v="IN-West"/>
    <d v="2024-08-21T00:00:00"/>
    <d v="2024-09-08T00:00:00"/>
    <d v="2024-09-13T00:00:00"/>
    <n v="410"/>
    <n v="398"/>
    <s v="Delivered"/>
    <x v="179"/>
    <n v="18"/>
    <n v="5"/>
    <n v="0"/>
    <x v="1"/>
  </r>
  <r>
    <s v="PO-1180"/>
    <x v="1"/>
    <x v="0"/>
    <s v="IN-West"/>
    <d v="2024-08-25T00:00:00"/>
    <d v="2024-09-12T00:00:00"/>
    <d v="2024-09-12T00:00:00"/>
    <n v="501"/>
    <n v="482"/>
    <s v="Delivered"/>
    <x v="180"/>
    <n v="18"/>
    <n v="0"/>
    <n v="1"/>
    <x v="0"/>
  </r>
  <r>
    <s v="PO-1181"/>
    <x v="1"/>
    <x v="3"/>
    <s v="APAC"/>
    <d v="2024-08-12T00:00:00"/>
    <d v="2024-08-17T00:00:00"/>
    <d v="2024-08-16T00:00:00"/>
    <n v="1228"/>
    <n v="1058"/>
    <s v="Delivered"/>
    <x v="181"/>
    <n v="5"/>
    <n v="-1"/>
    <n v="0"/>
    <x v="0"/>
  </r>
  <r>
    <s v="PO-1182"/>
    <x v="3"/>
    <x v="2"/>
    <s v="IN-South"/>
    <d v="2024-08-08T00:00:00"/>
    <d v="2024-08-15T00:00:00"/>
    <d v="2024-08-13T00:00:00"/>
    <n v="1918"/>
    <n v="1863"/>
    <s v="Delivered"/>
    <x v="182"/>
    <n v="7"/>
    <n v="-2"/>
    <n v="1"/>
    <x v="2"/>
  </r>
  <r>
    <s v="PO-1183"/>
    <x v="4"/>
    <x v="3"/>
    <s v="IN-North"/>
    <d v="2024-08-02T00:00:00"/>
    <d v="2024-08-07T00:00:00"/>
    <d v="2024-08-11T00:00:00"/>
    <n v="1625"/>
    <n v="1597"/>
    <s v="Delivered"/>
    <x v="183"/>
    <n v="5"/>
    <n v="4"/>
    <n v="0"/>
    <x v="2"/>
  </r>
  <r>
    <s v="PO-1184"/>
    <x v="7"/>
    <x v="4"/>
    <s v="IN-West"/>
    <d v="2024-08-03T00:00:00"/>
    <d v="2024-08-24T00:00:00"/>
    <d v="2024-08-22T00:00:00"/>
    <n v="1323"/>
    <n v="1315"/>
    <s v="Delivered"/>
    <x v="184"/>
    <n v="21"/>
    <n v="-2"/>
    <n v="1"/>
    <x v="2"/>
  </r>
  <r>
    <s v="PO-1185"/>
    <x v="3"/>
    <x v="2"/>
    <s v="IN-South"/>
    <d v="2024-08-08T00:00:00"/>
    <d v="2024-08-15T00:00:00"/>
    <d v="2024-08-13T00:00:00"/>
    <n v="1059"/>
    <n v="1020"/>
    <s v="Delivered"/>
    <x v="185"/>
    <n v="7"/>
    <n v="-2"/>
    <n v="1"/>
    <x v="2"/>
  </r>
  <r>
    <s v="PO-1186"/>
    <x v="7"/>
    <x v="2"/>
    <s v="IN-West"/>
    <d v="2024-08-27T00:00:00"/>
    <d v="2024-09-03T00:00:00"/>
    <d v="2024-09-01T00:00:00"/>
    <n v="1494"/>
    <n v="1421"/>
    <s v="Delivered"/>
    <x v="186"/>
    <n v="7"/>
    <n v="-2"/>
    <n v="1"/>
    <x v="2"/>
  </r>
  <r>
    <s v="PO-1187"/>
    <x v="2"/>
    <x v="3"/>
    <s v="IN-South"/>
    <d v="2024-08-14T00:00:00"/>
    <d v="2024-08-19T00:00:00"/>
    <d v="2024-08-17T00:00:00"/>
    <n v="1368"/>
    <n v="1288"/>
    <s v="Delivered"/>
    <x v="187"/>
    <n v="5"/>
    <n v="-2"/>
    <n v="0"/>
    <x v="1"/>
  </r>
  <r>
    <s v="PO-1188"/>
    <x v="1"/>
    <x v="1"/>
    <s v="IN-South"/>
    <d v="2024-08-03T00:00:00"/>
    <d v="2024-08-09T00:00:00"/>
    <d v="2024-08-08T00:00:00"/>
    <n v="289"/>
    <n v="265"/>
    <s v="Delivered"/>
    <x v="188"/>
    <n v="6"/>
    <n v="-1"/>
    <n v="0"/>
    <x v="0"/>
  </r>
  <r>
    <s v="PO-1189"/>
    <x v="4"/>
    <x v="0"/>
    <s v="IN-West"/>
    <d v="2024-08-12T00:00:00"/>
    <d v="2024-08-30T00:00:00"/>
    <d v="2024-08-30T00:00:00"/>
    <n v="1545"/>
    <n v="1487"/>
    <s v="Delivered"/>
    <x v="189"/>
    <n v="18"/>
    <n v="0"/>
    <n v="1"/>
    <x v="2"/>
  </r>
  <r>
    <s v="PO-1190"/>
    <x v="4"/>
    <x v="3"/>
    <s v="IN-West"/>
    <d v="2024-08-12T00:00:00"/>
    <d v="2024-08-17T00:00:00"/>
    <d v="2024-08-19T00:00:00"/>
    <n v="1900"/>
    <n v="1858"/>
    <s v="Delivered"/>
    <x v="190"/>
    <n v="5"/>
    <n v="2"/>
    <n v="0"/>
    <x v="2"/>
  </r>
  <r>
    <s v="PO-1191"/>
    <x v="7"/>
    <x v="4"/>
    <s v="IN-North"/>
    <d v="2024-08-26T00:00:00"/>
    <d v="2024-09-16T00:00:00"/>
    <d v="2024-09-15T00:00:00"/>
    <n v="275"/>
    <n v="255"/>
    <s v="Delivered"/>
    <x v="191"/>
    <n v="21"/>
    <n v="-1"/>
    <n v="0"/>
    <x v="2"/>
  </r>
  <r>
    <s v="PO-1192"/>
    <x v="0"/>
    <x v="3"/>
    <s v="IN-West"/>
    <d v="2024-08-11T00:00:00"/>
    <d v="2024-08-16T00:00:00"/>
    <d v="2024-08-16T00:00:00"/>
    <n v="1169"/>
    <n v="976"/>
    <s v="Delivered"/>
    <x v="192"/>
    <n v="5"/>
    <n v="0"/>
    <n v="0"/>
    <x v="0"/>
  </r>
  <r>
    <s v="PO-1193"/>
    <x v="2"/>
    <x v="0"/>
    <s v="IN-South"/>
    <d v="2024-08-28T00:00:00"/>
    <d v="2024-09-15T00:00:00"/>
    <d v="2024-09-18T00:00:00"/>
    <n v="759"/>
    <n v="692"/>
    <s v="Delivered"/>
    <x v="193"/>
    <n v="18"/>
    <n v="3"/>
    <n v="0"/>
    <x v="1"/>
  </r>
  <r>
    <s v="PO-1194"/>
    <x v="4"/>
    <x v="4"/>
    <s v="APAC"/>
    <d v="2024-08-24T00:00:00"/>
    <d v="2024-09-14T00:00:00"/>
    <d v="2024-09-18T00:00:00"/>
    <n v="894"/>
    <n v="891"/>
    <s v="Delivered"/>
    <x v="194"/>
    <n v="21"/>
    <n v="4"/>
    <n v="0"/>
    <x v="2"/>
  </r>
  <r>
    <s v="PO-1195"/>
    <x v="7"/>
    <x v="4"/>
    <s v="IN-South"/>
    <d v="2024-08-26T00:00:00"/>
    <d v="2024-09-16T00:00:00"/>
    <d v="2024-09-22T00:00:00"/>
    <n v="1069"/>
    <n v="970"/>
    <s v="Delivered"/>
    <x v="195"/>
    <n v="21"/>
    <n v="6"/>
    <n v="0"/>
    <x v="2"/>
  </r>
  <r>
    <s v="PO-1196"/>
    <x v="5"/>
    <x v="1"/>
    <s v="IN-South"/>
    <d v="2024-08-11T00:00:00"/>
    <d v="2024-08-17T00:00:00"/>
    <d v="2024-08-17T00:00:00"/>
    <n v="805"/>
    <n v="749"/>
    <s v="Delivered"/>
    <x v="196"/>
    <n v="6"/>
    <n v="0"/>
    <n v="0"/>
    <x v="1"/>
  </r>
  <r>
    <s v="PO-1197"/>
    <x v="3"/>
    <x v="3"/>
    <s v="APAC"/>
    <d v="2024-08-12T00:00:00"/>
    <d v="2024-08-17T00:00:00"/>
    <d v="2024-08-16T00:00:00"/>
    <n v="1459"/>
    <n v="1458"/>
    <s v="Delivered"/>
    <x v="197"/>
    <n v="5"/>
    <n v="-1"/>
    <n v="1"/>
    <x v="2"/>
  </r>
  <r>
    <s v="PO-1198"/>
    <x v="6"/>
    <x v="2"/>
    <s v="IN-West"/>
    <d v="2024-08-22T00:00:00"/>
    <d v="2024-08-29T00:00:00"/>
    <d v="2024-08-29T00:00:00"/>
    <n v="1591"/>
    <n v="1457"/>
    <s v="Delivered"/>
    <x v="198"/>
    <n v="7"/>
    <n v="0"/>
    <n v="0"/>
    <x v="1"/>
  </r>
  <r>
    <s v="PO-1199"/>
    <x v="0"/>
    <x v="3"/>
    <s v="APAC"/>
    <d v="2024-08-02T00:00:00"/>
    <d v="2024-08-07T00:00:00"/>
    <d v="2024-08-07T00:00:00"/>
    <n v="950"/>
    <n v="816"/>
    <s v="Delivered"/>
    <x v="199"/>
    <n v="5"/>
    <n v="0"/>
    <n v="0"/>
    <x v="0"/>
  </r>
  <r>
    <s v="PO-1200"/>
    <x v="0"/>
    <x v="1"/>
    <s v="IN-North"/>
    <d v="2024-08-22T00:00:00"/>
    <d v="2024-08-28T00:00:00"/>
    <d v="2024-08-31T00:00:00"/>
    <n v="1109"/>
    <n v="1051"/>
    <s v="Delivered"/>
    <x v="200"/>
    <n v="6"/>
    <n v="3"/>
    <n v="0"/>
    <x v="0"/>
  </r>
  <r>
    <s v="PO-1201"/>
    <x v="5"/>
    <x v="1"/>
    <s v="IN-South"/>
    <d v="2024-08-13T00:00:00"/>
    <d v="2024-08-19T00:00:00"/>
    <d v="2024-08-17T00:00:00"/>
    <n v="432"/>
    <n v="389"/>
    <s v="Delivered"/>
    <x v="201"/>
    <n v="6"/>
    <n v="-2"/>
    <n v="0"/>
    <x v="1"/>
  </r>
  <r>
    <s v="PO-1202"/>
    <x v="5"/>
    <x v="4"/>
    <s v="APAC"/>
    <d v="2024-08-18T00:00:00"/>
    <d v="2024-09-08T00:00:00"/>
    <d v="2024-09-07T00:00:00"/>
    <n v="1641"/>
    <n v="1550"/>
    <s v="Delivered"/>
    <x v="202"/>
    <n v="21"/>
    <n v="-1"/>
    <n v="0"/>
    <x v="1"/>
  </r>
  <r>
    <s v="PO-1203"/>
    <x v="6"/>
    <x v="4"/>
    <s v="IN-North"/>
    <d v="2024-08-04T00:00:00"/>
    <d v="2024-08-25T00:00:00"/>
    <d v="2024-08-29T00:00:00"/>
    <n v="553"/>
    <n v="547"/>
    <s v="Delivered"/>
    <x v="203"/>
    <n v="21"/>
    <n v="4"/>
    <n v="0"/>
    <x v="1"/>
  </r>
  <r>
    <s v="PO-1204"/>
    <x v="7"/>
    <x v="2"/>
    <s v="IN-South"/>
    <d v="2024-08-22T00:00:00"/>
    <d v="2024-08-29T00:00:00"/>
    <d v="2024-09-03T00:00:00"/>
    <n v="1310"/>
    <n v="1217"/>
    <s v="Delivered"/>
    <x v="204"/>
    <n v="7"/>
    <n v="5"/>
    <n v="0"/>
    <x v="2"/>
  </r>
  <r>
    <s v="PO-1205"/>
    <x v="6"/>
    <x v="3"/>
    <s v="IN-North"/>
    <d v="2024-08-26T00:00:00"/>
    <d v="2024-08-31T00:00:00"/>
    <d v="2024-08-29T00:00:00"/>
    <n v="611"/>
    <n v="598"/>
    <s v="Delivered"/>
    <x v="205"/>
    <n v="5"/>
    <n v="-2"/>
    <n v="1"/>
    <x v="1"/>
  </r>
  <r>
    <s v="PO-1206"/>
    <x v="2"/>
    <x v="4"/>
    <s v="IN-West"/>
    <d v="2024-08-12T00:00:00"/>
    <d v="2024-09-02T00:00:00"/>
    <d v="2024-09-02T00:00:00"/>
    <n v="465"/>
    <n v="446"/>
    <s v="Delivered"/>
    <x v="206"/>
    <n v="21"/>
    <n v="0"/>
    <n v="1"/>
    <x v="1"/>
  </r>
  <r>
    <s v="PO-1207"/>
    <x v="1"/>
    <x v="2"/>
    <s v="IN-South"/>
    <d v="2024-08-13T00:00:00"/>
    <d v="2024-08-20T00:00:00"/>
    <d v="2024-08-19T00:00:00"/>
    <n v="1886"/>
    <n v="1709"/>
    <s v="Delivered"/>
    <x v="207"/>
    <n v="7"/>
    <n v="-1"/>
    <n v="0"/>
    <x v="0"/>
  </r>
  <r>
    <s v="PO-1208"/>
    <x v="5"/>
    <x v="0"/>
    <s v="IN-West"/>
    <d v="2024-08-15T00:00:00"/>
    <d v="2024-09-02T00:00:00"/>
    <d v="2024-09-01T00:00:00"/>
    <n v="462"/>
    <n v="456"/>
    <s v="Delivered"/>
    <x v="208"/>
    <n v="18"/>
    <n v="-1"/>
    <n v="1"/>
    <x v="1"/>
  </r>
  <r>
    <s v="PO-1209"/>
    <x v="5"/>
    <x v="3"/>
    <s v="APAC"/>
    <d v="2024-08-17T00:00:00"/>
    <d v="2024-08-22T00:00:00"/>
    <d v="2024-08-27T00:00:00"/>
    <n v="513"/>
    <n v="477"/>
    <s v="Delivered"/>
    <x v="209"/>
    <n v="5"/>
    <n v="5"/>
    <n v="0"/>
    <x v="1"/>
  </r>
  <r>
    <s v="PO-1210"/>
    <x v="4"/>
    <x v="3"/>
    <s v="IN-South"/>
    <d v="2024-09-17T00:00:00"/>
    <d v="2024-09-22T00:00:00"/>
    <d v="2024-09-25T00:00:00"/>
    <n v="602"/>
    <n v="580"/>
    <s v="Delivered"/>
    <x v="210"/>
    <n v="5"/>
    <n v="3"/>
    <n v="0"/>
    <x v="2"/>
  </r>
  <r>
    <s v="PO-1211"/>
    <x v="6"/>
    <x v="3"/>
    <s v="IN-South"/>
    <d v="2024-09-20T00:00:00"/>
    <d v="2024-09-25T00:00:00"/>
    <d v="2024-09-23T00:00:00"/>
    <n v="1412"/>
    <n v="1403"/>
    <s v="Delivered"/>
    <x v="211"/>
    <n v="5"/>
    <n v="-2"/>
    <n v="1"/>
    <x v="1"/>
  </r>
  <r>
    <s v="PO-1212"/>
    <x v="5"/>
    <x v="3"/>
    <s v="IN-South"/>
    <d v="2024-09-27T00:00:00"/>
    <d v="2024-10-02T00:00:00"/>
    <d v="2024-10-03T00:00:00"/>
    <n v="366"/>
    <n v="331"/>
    <s v="Delivered"/>
    <x v="212"/>
    <n v="5"/>
    <n v="1"/>
    <n v="0"/>
    <x v="1"/>
  </r>
  <r>
    <s v="PO-1213"/>
    <x v="6"/>
    <x v="3"/>
    <s v="APAC"/>
    <d v="2024-09-20T00:00:00"/>
    <d v="2024-09-25T00:00:00"/>
    <d v="2024-09-25T00:00:00"/>
    <n v="1317"/>
    <n v="1223"/>
    <s v="Delivered"/>
    <x v="213"/>
    <n v="5"/>
    <n v="0"/>
    <n v="0"/>
    <x v="1"/>
  </r>
  <r>
    <s v="PO-1214"/>
    <x v="6"/>
    <x v="4"/>
    <s v="IN-North"/>
    <d v="2024-09-26T00:00:00"/>
    <d v="2024-10-17T00:00:00"/>
    <d v="2024-10-15T00:00:00"/>
    <n v="1100"/>
    <n v="1035"/>
    <s v="Delivered"/>
    <x v="214"/>
    <n v="21"/>
    <n v="-2"/>
    <n v="0"/>
    <x v="1"/>
  </r>
  <r>
    <s v="PO-1215"/>
    <x v="7"/>
    <x v="3"/>
    <s v="IN-South"/>
    <d v="2024-09-20T00:00:00"/>
    <d v="2024-09-25T00:00:00"/>
    <d v="2024-09-25T00:00:00"/>
    <n v="853"/>
    <n v="830"/>
    <s v="Delivered"/>
    <x v="215"/>
    <n v="5"/>
    <n v="0"/>
    <n v="1"/>
    <x v="2"/>
  </r>
  <r>
    <s v="PO-1216"/>
    <x v="4"/>
    <x v="4"/>
    <s v="IN-North"/>
    <d v="2024-09-25T00:00:00"/>
    <d v="2024-10-16T00:00:00"/>
    <d v="2024-10-15T00:00:00"/>
    <n v="1120"/>
    <n v="1035"/>
    <s v="Delivered"/>
    <x v="216"/>
    <n v="21"/>
    <n v="-1"/>
    <n v="0"/>
    <x v="2"/>
  </r>
  <r>
    <s v="PO-1217"/>
    <x v="1"/>
    <x v="2"/>
    <s v="IN-South"/>
    <d v="2024-09-13T00:00:00"/>
    <d v="2024-09-20T00:00:00"/>
    <d v="2024-09-18T00:00:00"/>
    <n v="1866"/>
    <n v="1589"/>
    <s v="Delivered"/>
    <x v="217"/>
    <n v="7"/>
    <n v="-2"/>
    <n v="0"/>
    <x v="0"/>
  </r>
  <r>
    <s v="PO-1218"/>
    <x v="4"/>
    <x v="3"/>
    <s v="IN-North"/>
    <d v="2024-09-16T00:00:00"/>
    <d v="2024-09-21T00:00:00"/>
    <d v="2024-09-20T00:00:00"/>
    <n v="1218"/>
    <n v="1099"/>
    <s v="Delivered"/>
    <x v="218"/>
    <n v="5"/>
    <n v="-1"/>
    <n v="0"/>
    <x v="2"/>
  </r>
  <r>
    <s v="PO-1219"/>
    <x v="3"/>
    <x v="1"/>
    <s v="APAC"/>
    <d v="2024-09-08T00:00:00"/>
    <d v="2024-09-14T00:00:00"/>
    <d v="2024-09-12T00:00:00"/>
    <n v="303"/>
    <n v="281"/>
    <s v="Delivered"/>
    <x v="219"/>
    <n v="6"/>
    <n v="-2"/>
    <n v="0"/>
    <x v="2"/>
  </r>
  <r>
    <s v="PO-1220"/>
    <x v="7"/>
    <x v="0"/>
    <s v="IN-West"/>
    <d v="2024-09-28T00:00:00"/>
    <d v="2024-10-16T00:00:00"/>
    <d v="2024-10-15T00:00:00"/>
    <n v="1764"/>
    <n v="1658"/>
    <s v="Delivered"/>
    <x v="220"/>
    <n v="18"/>
    <n v="-1"/>
    <n v="0"/>
    <x v="2"/>
  </r>
  <r>
    <s v="PO-1221"/>
    <x v="0"/>
    <x v="4"/>
    <s v="IN-West"/>
    <d v="2024-09-19T00:00:00"/>
    <d v="2024-10-10T00:00:00"/>
    <d v="2024-10-10T00:00:00"/>
    <n v="1122"/>
    <n v="1063"/>
    <s v="Delivered"/>
    <x v="221"/>
    <n v="21"/>
    <n v="0"/>
    <n v="0"/>
    <x v="0"/>
  </r>
  <r>
    <s v="PO-1222"/>
    <x v="6"/>
    <x v="1"/>
    <s v="IN-West"/>
    <d v="2024-09-05T00:00:00"/>
    <d v="2024-09-11T00:00:00"/>
    <d v="2024-09-10T00:00:00"/>
    <n v="1342"/>
    <n v="1333"/>
    <s v="Delivered"/>
    <x v="222"/>
    <n v="6"/>
    <n v="-1"/>
    <n v="1"/>
    <x v="1"/>
  </r>
  <r>
    <s v="PO-1223"/>
    <x v="5"/>
    <x v="3"/>
    <s v="APAC"/>
    <d v="2024-09-17T00:00:00"/>
    <d v="2024-09-22T00:00:00"/>
    <d v="2024-09-20T00:00:00"/>
    <n v="1661"/>
    <n v="1550"/>
    <s v="Delivered"/>
    <x v="223"/>
    <n v="5"/>
    <n v="-2"/>
    <n v="0"/>
    <x v="1"/>
  </r>
  <r>
    <s v="PO-1224"/>
    <x v="7"/>
    <x v="1"/>
    <s v="APAC"/>
    <d v="2024-09-05T00:00:00"/>
    <d v="2024-09-11T00:00:00"/>
    <d v="2024-09-11T00:00:00"/>
    <n v="852"/>
    <n v="780"/>
    <s v="Delivered"/>
    <x v="224"/>
    <n v="6"/>
    <n v="0"/>
    <n v="0"/>
    <x v="2"/>
  </r>
  <r>
    <s v="PO-1225"/>
    <x v="6"/>
    <x v="1"/>
    <s v="IN-South"/>
    <d v="2024-09-17T00:00:00"/>
    <d v="2024-09-23T00:00:00"/>
    <d v="2024-09-26T00:00:00"/>
    <n v="1172"/>
    <n v="1150"/>
    <s v="Delivered"/>
    <x v="225"/>
    <n v="6"/>
    <n v="3"/>
    <n v="0"/>
    <x v="1"/>
  </r>
  <r>
    <s v="PO-1226"/>
    <x v="4"/>
    <x v="0"/>
    <s v="IN-West"/>
    <d v="2024-09-14T00:00:00"/>
    <d v="2024-10-02T00:00:00"/>
    <d v="2024-10-02T00:00:00"/>
    <n v="1803"/>
    <n v="1797"/>
    <s v="Delivered"/>
    <x v="226"/>
    <n v="18"/>
    <n v="0"/>
    <n v="1"/>
    <x v="2"/>
  </r>
  <r>
    <s v="PO-1227"/>
    <x v="2"/>
    <x v="2"/>
    <s v="APAC"/>
    <d v="2024-09-06T00:00:00"/>
    <d v="2024-09-13T00:00:00"/>
    <d v="2024-09-13T00:00:00"/>
    <n v="696"/>
    <n v="628"/>
    <s v="Delivered"/>
    <x v="218"/>
    <n v="7"/>
    <n v="0"/>
    <n v="0"/>
    <x v="1"/>
  </r>
  <r>
    <s v="PO-1228"/>
    <x v="1"/>
    <x v="3"/>
    <s v="IN-West"/>
    <d v="2024-09-15T00:00:00"/>
    <d v="2024-09-20T00:00:00"/>
    <d v="2024-09-19T00:00:00"/>
    <n v="1614"/>
    <n v="1331"/>
    <s v="Delivered"/>
    <x v="227"/>
    <n v="5"/>
    <n v="-1"/>
    <n v="0"/>
    <x v="0"/>
  </r>
  <r>
    <s v="PO-1229"/>
    <x v="7"/>
    <x v="2"/>
    <s v="IN-North"/>
    <d v="2024-09-17T00:00:00"/>
    <d v="2024-09-24T00:00:00"/>
    <d v="2024-09-24T00:00:00"/>
    <n v="1179"/>
    <n v="1123"/>
    <s v="Delivered"/>
    <x v="228"/>
    <n v="7"/>
    <n v="0"/>
    <n v="1"/>
    <x v="2"/>
  </r>
  <r>
    <s v="PO-1230"/>
    <x v="4"/>
    <x v="3"/>
    <s v="APAC"/>
    <d v="2024-09-18T00:00:00"/>
    <d v="2024-09-23T00:00:00"/>
    <d v="2024-09-23T00:00:00"/>
    <n v="1781"/>
    <n v="1757"/>
    <s v="Delivered"/>
    <x v="229"/>
    <n v="5"/>
    <n v="0"/>
    <n v="1"/>
    <x v="2"/>
  </r>
  <r>
    <s v="PO-1231"/>
    <x v="6"/>
    <x v="1"/>
    <s v="APAC"/>
    <d v="2024-09-07T00:00:00"/>
    <d v="2024-09-13T00:00:00"/>
    <d v="2024-09-12T00:00:00"/>
    <n v="660"/>
    <n v="656"/>
    <s v="Delivered"/>
    <x v="230"/>
    <n v="6"/>
    <n v="-1"/>
    <n v="1"/>
    <x v="1"/>
  </r>
  <r>
    <s v="PO-1232"/>
    <x v="6"/>
    <x v="0"/>
    <s v="IN-North"/>
    <d v="2024-09-23T00:00:00"/>
    <d v="2024-10-11T00:00:00"/>
    <d v="2024-10-11T00:00:00"/>
    <n v="760"/>
    <n v="705"/>
    <s v="Delivered"/>
    <x v="231"/>
    <n v="18"/>
    <n v="0"/>
    <n v="0"/>
    <x v="1"/>
  </r>
  <r>
    <s v="PO-1233"/>
    <x v="3"/>
    <x v="4"/>
    <s v="IN-South"/>
    <d v="2024-09-25T00:00:00"/>
    <d v="2024-10-16T00:00:00"/>
    <d v="2024-10-14T00:00:00"/>
    <n v="909"/>
    <n v="902"/>
    <s v="Delivered"/>
    <x v="232"/>
    <n v="21"/>
    <n v="-2"/>
    <n v="1"/>
    <x v="2"/>
  </r>
  <r>
    <s v="PO-1234"/>
    <x v="6"/>
    <x v="4"/>
    <s v="IN-North"/>
    <d v="2024-09-07T00:00:00"/>
    <d v="2024-09-28T00:00:00"/>
    <d v="2024-09-28T00:00:00"/>
    <n v="690"/>
    <n v="637"/>
    <s v="Delivered"/>
    <x v="233"/>
    <n v="21"/>
    <n v="0"/>
    <n v="0"/>
    <x v="1"/>
  </r>
  <r>
    <s v="PO-1235"/>
    <x v="2"/>
    <x v="3"/>
    <s v="IN-West"/>
    <d v="2024-09-04T00:00:00"/>
    <d v="2024-09-09T00:00:00"/>
    <d v="2024-09-08T00:00:00"/>
    <n v="405"/>
    <n v="392"/>
    <s v="Delivered"/>
    <x v="234"/>
    <n v="5"/>
    <n v="-1"/>
    <n v="1"/>
    <x v="1"/>
  </r>
  <r>
    <s v="PO-1236"/>
    <x v="5"/>
    <x v="2"/>
    <s v="IN-North"/>
    <d v="2024-09-14T00:00:00"/>
    <d v="2024-09-21T00:00:00"/>
    <d v="2024-09-19T00:00:00"/>
    <n v="1748"/>
    <n v="1741"/>
    <s v="Delivered"/>
    <x v="235"/>
    <n v="7"/>
    <n v="-2"/>
    <n v="1"/>
    <x v="1"/>
  </r>
  <r>
    <s v="PO-1237"/>
    <x v="4"/>
    <x v="0"/>
    <s v="IN-West"/>
    <d v="2024-09-25T00:00:00"/>
    <d v="2024-10-13T00:00:00"/>
    <d v="2024-10-11T00:00:00"/>
    <n v="558"/>
    <n v="525"/>
    <s v="Delivered"/>
    <x v="236"/>
    <n v="18"/>
    <n v="-2"/>
    <n v="0"/>
    <x v="2"/>
  </r>
  <r>
    <s v="PO-1238"/>
    <x v="5"/>
    <x v="2"/>
    <s v="APAC"/>
    <d v="2024-09-26T00:00:00"/>
    <d v="2024-10-03T00:00:00"/>
    <d v="2024-10-03T00:00:00"/>
    <n v="1986"/>
    <n v="1971"/>
    <s v="Delivered"/>
    <x v="237"/>
    <n v="7"/>
    <n v="0"/>
    <n v="1"/>
    <x v="1"/>
  </r>
  <r>
    <s v="PO-1239"/>
    <x v="0"/>
    <x v="2"/>
    <s v="IN-South"/>
    <d v="2024-09-19T00:00:00"/>
    <d v="2024-09-26T00:00:00"/>
    <d v="2024-09-29T00:00:00"/>
    <n v="782"/>
    <n v="688"/>
    <s v="Delivered"/>
    <x v="238"/>
    <n v="7"/>
    <n v="3"/>
    <n v="0"/>
    <x v="0"/>
  </r>
  <r>
    <s v="PO-1240"/>
    <x v="7"/>
    <x v="3"/>
    <s v="APAC"/>
    <d v="2024-09-09T00:00:00"/>
    <d v="2024-09-14T00:00:00"/>
    <d v="2024-09-17T00:00:00"/>
    <n v="532"/>
    <n v="517"/>
    <s v="Delivered"/>
    <x v="239"/>
    <n v="5"/>
    <n v="3"/>
    <n v="0"/>
    <x v="2"/>
  </r>
  <r>
    <s v="PO-1241"/>
    <x v="6"/>
    <x v="3"/>
    <s v="IN-West"/>
    <d v="2024-09-24T00:00:00"/>
    <d v="2024-09-29T00:00:00"/>
    <d v="2024-10-04T00:00:00"/>
    <n v="1581"/>
    <n v="1542"/>
    <s v="Delivered"/>
    <x v="240"/>
    <n v="5"/>
    <n v="5"/>
    <n v="0"/>
    <x v="1"/>
  </r>
  <r>
    <s v="PO-1242"/>
    <x v="5"/>
    <x v="1"/>
    <s v="APAC"/>
    <d v="2024-09-27T00:00:00"/>
    <d v="2024-10-03T00:00:00"/>
    <d v="2024-10-01T00:00:00"/>
    <n v="1020"/>
    <n v="986"/>
    <s v="Delivered"/>
    <x v="241"/>
    <n v="6"/>
    <n v="-2"/>
    <n v="1"/>
    <x v="1"/>
  </r>
  <r>
    <s v="PO-1243"/>
    <x v="5"/>
    <x v="3"/>
    <s v="APAC"/>
    <d v="2024-09-11T00:00:00"/>
    <d v="2024-09-16T00:00:00"/>
    <d v="2024-09-15T00:00:00"/>
    <n v="682"/>
    <n v="644"/>
    <s v="Delivered"/>
    <x v="242"/>
    <n v="5"/>
    <n v="-1"/>
    <n v="0"/>
    <x v="1"/>
  </r>
  <r>
    <s v="PO-1244"/>
    <x v="6"/>
    <x v="0"/>
    <s v="IN-South"/>
    <d v="2024-09-19T00:00:00"/>
    <d v="2024-10-07T00:00:00"/>
    <d v="2024-10-05T00:00:00"/>
    <n v="1567"/>
    <n v="1428"/>
    <s v="Delivered"/>
    <x v="243"/>
    <n v="18"/>
    <n v="-2"/>
    <n v="0"/>
    <x v="1"/>
  </r>
  <r>
    <s v="PO-1245"/>
    <x v="6"/>
    <x v="3"/>
    <s v="APAC"/>
    <d v="2024-09-22T00:00:00"/>
    <d v="2024-09-27T00:00:00"/>
    <d v="2024-09-27T00:00:00"/>
    <n v="804"/>
    <n v="753"/>
    <s v="Delivered"/>
    <x v="244"/>
    <n v="5"/>
    <n v="0"/>
    <n v="0"/>
    <x v="1"/>
  </r>
  <r>
    <s v="PO-1246"/>
    <x v="2"/>
    <x v="3"/>
    <s v="IN-North"/>
    <d v="2024-09-16T00:00:00"/>
    <d v="2024-09-21T00:00:00"/>
    <d v="2024-09-21T00:00:00"/>
    <n v="965"/>
    <n v="908"/>
    <s v="Delivered"/>
    <x v="245"/>
    <n v="5"/>
    <n v="0"/>
    <n v="0"/>
    <x v="1"/>
  </r>
  <r>
    <s v="PO-1247"/>
    <x v="7"/>
    <x v="1"/>
    <s v="IN-North"/>
    <d v="2024-09-25T00:00:00"/>
    <d v="2024-10-01T00:00:00"/>
    <d v="2024-10-01T00:00:00"/>
    <n v="1988"/>
    <n v="1945"/>
    <s v="Delivered"/>
    <x v="246"/>
    <n v="6"/>
    <n v="0"/>
    <n v="1"/>
    <x v="2"/>
  </r>
  <r>
    <s v="PO-1248"/>
    <x v="7"/>
    <x v="1"/>
    <s v="IN-South"/>
    <d v="2024-09-03T00:00:00"/>
    <d v="2024-09-09T00:00:00"/>
    <d v="2024-09-09T00:00:00"/>
    <n v="1235"/>
    <n v="1136"/>
    <s v="Delivered"/>
    <x v="247"/>
    <n v="6"/>
    <n v="0"/>
    <n v="0"/>
    <x v="2"/>
  </r>
  <r>
    <s v="PO-1249"/>
    <x v="5"/>
    <x v="3"/>
    <s v="IN-South"/>
    <d v="2024-09-28T00:00:00"/>
    <d v="2024-10-03T00:00:00"/>
    <d v="2024-10-01T00:00:00"/>
    <n v="1668"/>
    <n v="1598"/>
    <s v="Delivered"/>
    <x v="248"/>
    <n v="5"/>
    <n v="-2"/>
    <n v="1"/>
    <x v="1"/>
  </r>
  <r>
    <s v="PO-1250"/>
    <x v="1"/>
    <x v="1"/>
    <s v="APAC"/>
    <d v="2024-09-26T00:00:00"/>
    <d v="2024-10-02T00:00:00"/>
    <d v="2024-10-02T00:00:00"/>
    <n v="1050"/>
    <n v="924"/>
    <s v="Delivered"/>
    <x v="249"/>
    <n v="6"/>
    <n v="0"/>
    <n v="0"/>
    <x v="0"/>
  </r>
  <r>
    <s v="PO-1251"/>
    <x v="0"/>
    <x v="1"/>
    <s v="APAC"/>
    <d v="2024-09-22T00:00:00"/>
    <d v="2024-09-28T00:00:00"/>
    <d v="2024-10-02T00:00:00"/>
    <n v="721"/>
    <n v="691"/>
    <s v="Delivered"/>
    <x v="250"/>
    <n v="6"/>
    <n v="4"/>
    <n v="0"/>
    <x v="0"/>
  </r>
  <r>
    <s v="PO-1252"/>
    <x v="2"/>
    <x v="1"/>
    <s v="IN-West"/>
    <d v="2024-09-02T00:00:00"/>
    <d v="2024-09-08T00:00:00"/>
    <d v="2024-09-06T00:00:00"/>
    <n v="1308"/>
    <n v="1307"/>
    <s v="Delivered"/>
    <x v="251"/>
    <n v="6"/>
    <n v="-2"/>
    <n v="1"/>
    <x v="1"/>
  </r>
  <r>
    <s v="PO-1253"/>
    <x v="1"/>
    <x v="4"/>
    <s v="IN-West"/>
    <d v="2024-09-10T00:00:00"/>
    <d v="2024-10-01T00:00:00"/>
    <d v="2024-10-01T00:00:00"/>
    <n v="1522"/>
    <n v="1509"/>
    <s v="Delivered"/>
    <x v="252"/>
    <n v="21"/>
    <n v="0"/>
    <n v="1"/>
    <x v="0"/>
  </r>
  <r>
    <s v="PO-1254"/>
    <x v="4"/>
    <x v="4"/>
    <s v="APAC"/>
    <d v="2024-09-28T00:00:00"/>
    <d v="2024-10-19T00:00:00"/>
    <d v="2024-10-19T00:00:00"/>
    <n v="472"/>
    <n v="455"/>
    <s v="Delivered"/>
    <x v="253"/>
    <n v="21"/>
    <n v="0"/>
    <n v="1"/>
    <x v="2"/>
  </r>
  <r>
    <s v="PO-1255"/>
    <x v="4"/>
    <x v="2"/>
    <s v="IN-North"/>
    <d v="2024-09-18T00:00:00"/>
    <d v="2024-09-25T00:00:00"/>
    <d v="2024-09-25T00:00:00"/>
    <n v="656"/>
    <n v="645"/>
    <s v="Delivered"/>
    <x v="254"/>
    <n v="7"/>
    <n v="0"/>
    <n v="1"/>
    <x v="2"/>
  </r>
  <r>
    <s v="PO-1256"/>
    <x v="0"/>
    <x v="0"/>
    <s v="APAC"/>
    <d v="2024-09-22T00:00:00"/>
    <d v="2024-10-10T00:00:00"/>
    <d v="2024-10-09T00:00:00"/>
    <n v="517"/>
    <n v="434"/>
    <s v="Delivered"/>
    <x v="255"/>
    <n v="18"/>
    <n v="-1"/>
    <n v="0"/>
    <x v="0"/>
  </r>
  <r>
    <s v="PO-1257"/>
    <x v="1"/>
    <x v="2"/>
    <s v="APAC"/>
    <d v="2024-09-20T00:00:00"/>
    <d v="2024-09-27T00:00:00"/>
    <d v="2024-09-25T00:00:00"/>
    <n v="406"/>
    <n v="369"/>
    <s v="Delivered"/>
    <x v="256"/>
    <n v="7"/>
    <n v="-2"/>
    <n v="0"/>
    <x v="0"/>
  </r>
  <r>
    <s v="PO-1258"/>
    <x v="7"/>
    <x v="1"/>
    <s v="IN-West"/>
    <d v="2024-09-08T00:00:00"/>
    <d v="2024-09-14T00:00:00"/>
    <d v="2024-09-12T00:00:00"/>
    <n v="1305"/>
    <n v="1202"/>
    <s v="Delivered"/>
    <x v="257"/>
    <n v="6"/>
    <n v="-2"/>
    <n v="0"/>
    <x v="2"/>
  </r>
  <r>
    <s v="PO-1259"/>
    <x v="0"/>
    <x v="3"/>
    <s v="IN-South"/>
    <d v="2024-09-08T00:00:00"/>
    <d v="2024-09-13T00:00:00"/>
    <d v="2024-09-13T00:00:00"/>
    <n v="1876"/>
    <n v="1595"/>
    <s v="Delivered"/>
    <x v="258"/>
    <n v="5"/>
    <n v="0"/>
    <n v="0"/>
    <x v="0"/>
  </r>
  <r>
    <s v="PO-1260"/>
    <x v="6"/>
    <x v="3"/>
    <s v="IN-North"/>
    <d v="2024-09-14T00:00:00"/>
    <d v="2024-09-19T00:00:00"/>
    <d v="2024-09-19T00:00:00"/>
    <n v="1411"/>
    <n v="1394"/>
    <s v="Delivered"/>
    <x v="259"/>
    <n v="5"/>
    <n v="0"/>
    <n v="1"/>
    <x v="1"/>
  </r>
  <r>
    <s v="PO-1261"/>
    <x v="5"/>
    <x v="4"/>
    <s v="APAC"/>
    <d v="2024-09-02T00:00:00"/>
    <d v="2024-09-23T00:00:00"/>
    <d v="2024-09-22T00:00:00"/>
    <n v="1036"/>
    <n v="947"/>
    <s v="Delivered"/>
    <x v="260"/>
    <n v="21"/>
    <n v="-1"/>
    <n v="0"/>
    <x v="1"/>
  </r>
  <r>
    <s v="PO-1262"/>
    <x v="3"/>
    <x v="3"/>
    <s v="APAC"/>
    <d v="2024-09-08T00:00:00"/>
    <d v="2024-09-13T00:00:00"/>
    <d v="2024-09-13T00:00:00"/>
    <n v="495"/>
    <n v="485"/>
    <s v="Delivered"/>
    <x v="261"/>
    <n v="5"/>
    <n v="0"/>
    <n v="1"/>
    <x v="2"/>
  </r>
  <r>
    <s v="PO-1263"/>
    <x v="0"/>
    <x v="1"/>
    <s v="APAC"/>
    <d v="2024-09-14T00:00:00"/>
    <d v="2024-09-20T00:00:00"/>
    <d v="2024-09-19T00:00:00"/>
    <n v="616"/>
    <n v="525"/>
    <s v="Delivered"/>
    <x v="262"/>
    <n v="6"/>
    <n v="-1"/>
    <n v="0"/>
    <x v="0"/>
  </r>
  <r>
    <s v="PO-1264"/>
    <x v="1"/>
    <x v="4"/>
    <s v="IN-South"/>
    <d v="2024-09-03T00:00:00"/>
    <d v="2024-09-24T00:00:00"/>
    <d v="2024-09-24T00:00:00"/>
    <n v="280"/>
    <n v="272"/>
    <s v="Delivered"/>
    <x v="263"/>
    <n v="21"/>
    <n v="0"/>
    <n v="1"/>
    <x v="0"/>
  </r>
  <r>
    <s v="PO-1265"/>
    <x v="2"/>
    <x v="1"/>
    <s v="IN-North"/>
    <d v="2024-09-16T00:00:00"/>
    <d v="2024-09-22T00:00:00"/>
    <d v="2024-09-25T00:00:00"/>
    <n v="820"/>
    <n v="816"/>
    <s v="Delivered"/>
    <x v="264"/>
    <n v="6"/>
    <n v="3"/>
    <n v="0"/>
    <x v="1"/>
  </r>
  <r>
    <s v="PO-1266"/>
    <x v="0"/>
    <x v="3"/>
    <s v="IN-North"/>
    <d v="2024-09-24T00:00:00"/>
    <d v="2024-09-29T00:00:00"/>
    <d v="2024-10-03T00:00:00"/>
    <n v="696"/>
    <n v="649"/>
    <s v="Delivered"/>
    <x v="265"/>
    <n v="5"/>
    <n v="4"/>
    <n v="0"/>
    <x v="0"/>
  </r>
  <r>
    <s v="PO-1267"/>
    <x v="2"/>
    <x v="4"/>
    <s v="IN-North"/>
    <d v="2024-09-18T00:00:00"/>
    <d v="2024-10-09T00:00:00"/>
    <d v="2024-10-08T00:00:00"/>
    <n v="831"/>
    <n v="769"/>
    <s v="Delivered"/>
    <x v="266"/>
    <n v="21"/>
    <n v="-1"/>
    <n v="0"/>
    <x v="1"/>
  </r>
  <r>
    <s v="PO-1268"/>
    <x v="7"/>
    <x v="4"/>
    <s v="IN-West"/>
    <d v="2024-09-26T00:00:00"/>
    <d v="2024-10-17T00:00:00"/>
    <d v="2024-10-16T00:00:00"/>
    <n v="293"/>
    <n v="280"/>
    <s v="Delivered"/>
    <x v="267"/>
    <n v="21"/>
    <n v="-1"/>
    <n v="1"/>
    <x v="2"/>
  </r>
  <r>
    <s v="PO-1269"/>
    <x v="2"/>
    <x v="3"/>
    <s v="IN-West"/>
    <d v="2024-09-09T00:00:00"/>
    <d v="2024-09-14T00:00:00"/>
    <d v="2024-09-12T00:00:00"/>
    <n v="875"/>
    <n v="807"/>
    <s v="Delivered"/>
    <x v="268"/>
    <n v="5"/>
    <n v="-2"/>
    <n v="0"/>
    <x v="1"/>
  </r>
  <r>
    <s v="PO-1270"/>
    <x v="2"/>
    <x v="4"/>
    <s v="IN-South"/>
    <d v="2024-09-09T00:00:00"/>
    <d v="2024-09-30T00:00:00"/>
    <d v="2024-09-29T00:00:00"/>
    <n v="546"/>
    <n v="499"/>
    <s v="Delivered"/>
    <x v="269"/>
    <n v="21"/>
    <n v="-1"/>
    <n v="0"/>
    <x v="1"/>
  </r>
  <r>
    <s v="PO-1271"/>
    <x v="7"/>
    <x v="3"/>
    <s v="IN-West"/>
    <d v="2024-09-17T00:00:00"/>
    <d v="2024-09-22T00:00:00"/>
    <d v="2024-09-23T00:00:00"/>
    <n v="1875"/>
    <n v="1812"/>
    <s v="Delivered"/>
    <x v="270"/>
    <n v="5"/>
    <n v="1"/>
    <n v="0"/>
    <x v="2"/>
  </r>
  <r>
    <s v="PO-1272"/>
    <x v="0"/>
    <x v="4"/>
    <s v="IN-North"/>
    <d v="2024-09-27T00:00:00"/>
    <d v="2024-10-18T00:00:00"/>
    <d v="2024-10-18T00:00:00"/>
    <n v="1133"/>
    <n v="976"/>
    <s v="Delivered"/>
    <x v="271"/>
    <n v="21"/>
    <n v="0"/>
    <n v="0"/>
    <x v="0"/>
  </r>
  <r>
    <s v="PO-1273"/>
    <x v="7"/>
    <x v="4"/>
    <s v="IN-West"/>
    <d v="2024-09-01T00:00:00"/>
    <d v="2024-09-22T00:00:00"/>
    <d v="2024-09-22T00:00:00"/>
    <n v="787"/>
    <n v="709"/>
    <s v="Delivered"/>
    <x v="272"/>
    <n v="21"/>
    <n v="0"/>
    <n v="0"/>
    <x v="2"/>
  </r>
  <r>
    <s v="PO-1274"/>
    <x v="3"/>
    <x v="3"/>
    <s v="IN-West"/>
    <d v="2024-09-04T00:00:00"/>
    <d v="2024-09-09T00:00:00"/>
    <d v="2024-09-09T00:00:00"/>
    <n v="1278"/>
    <n v="1182"/>
    <s v="Delivered"/>
    <x v="273"/>
    <n v="5"/>
    <n v="0"/>
    <n v="0"/>
    <x v="2"/>
  </r>
  <r>
    <s v="PO-1275"/>
    <x v="4"/>
    <x v="0"/>
    <s v="APAC"/>
    <d v="2024-09-03T00:00:00"/>
    <d v="2024-09-21T00:00:00"/>
    <d v="2024-09-21T00:00:00"/>
    <n v="662"/>
    <n v="615"/>
    <s v="Delivered"/>
    <x v="274"/>
    <n v="18"/>
    <n v="0"/>
    <n v="0"/>
    <x v="2"/>
  </r>
  <r>
    <s v="PO-1276"/>
    <x v="1"/>
    <x v="2"/>
    <s v="IN-West"/>
    <d v="2024-09-13T00:00:00"/>
    <d v="2024-09-20T00:00:00"/>
    <d v="2024-09-19T00:00:00"/>
    <n v="314"/>
    <n v="288"/>
    <s v="Delivered"/>
    <x v="275"/>
    <n v="7"/>
    <n v="-1"/>
    <n v="0"/>
    <x v="0"/>
  </r>
  <r>
    <s v="PO-1277"/>
    <x v="5"/>
    <x v="2"/>
    <s v="APAC"/>
    <d v="2024-09-28T00:00:00"/>
    <d v="2024-10-05T00:00:00"/>
    <d v="2024-10-04T00:00:00"/>
    <n v="1358"/>
    <n v="1354"/>
    <s v="Delivered"/>
    <x v="276"/>
    <n v="7"/>
    <n v="-1"/>
    <n v="1"/>
    <x v="1"/>
  </r>
  <r>
    <s v="PO-1278"/>
    <x v="1"/>
    <x v="1"/>
    <s v="IN-West"/>
    <d v="2024-09-08T00:00:00"/>
    <d v="2024-09-14T00:00:00"/>
    <d v="2024-09-20T00:00:00"/>
    <n v="1360"/>
    <n v="1203"/>
    <s v="Delivered"/>
    <x v="277"/>
    <n v="6"/>
    <n v="6"/>
    <n v="0"/>
    <x v="0"/>
  </r>
  <r>
    <s v="PO-1279"/>
    <x v="0"/>
    <x v="2"/>
    <s v="IN-South"/>
    <d v="2024-09-18T00:00:00"/>
    <d v="2024-09-25T00:00:00"/>
    <d v="2024-09-24T00:00:00"/>
    <n v="232"/>
    <n v="230"/>
    <s v="Delivered"/>
    <x v="278"/>
    <n v="7"/>
    <n v="-1"/>
    <n v="1"/>
    <x v="0"/>
  </r>
  <r>
    <s v="PO-1280"/>
    <x v="5"/>
    <x v="4"/>
    <s v="IN-West"/>
    <d v="2024-09-10T00:00:00"/>
    <d v="2024-10-01T00:00:00"/>
    <d v="2024-10-01T00:00:00"/>
    <n v="1307"/>
    <n v="1219"/>
    <s v="Delivered"/>
    <x v="279"/>
    <n v="21"/>
    <n v="0"/>
    <n v="0"/>
    <x v="1"/>
  </r>
  <r>
    <s v="PO-1281"/>
    <x v="5"/>
    <x v="2"/>
    <s v="IN-South"/>
    <d v="2024-09-02T00:00:00"/>
    <d v="2024-09-09T00:00:00"/>
    <d v="2024-09-07T00:00:00"/>
    <n v="897"/>
    <n v="861"/>
    <s v="Delivered"/>
    <x v="280"/>
    <n v="7"/>
    <n v="-2"/>
    <n v="1"/>
    <x v="1"/>
  </r>
  <r>
    <s v="PO-1282"/>
    <x v="3"/>
    <x v="0"/>
    <s v="IN-West"/>
    <d v="2024-09-21T00:00:00"/>
    <d v="2024-10-09T00:00:00"/>
    <d v="2024-10-08T00:00:00"/>
    <n v="1084"/>
    <n v="995"/>
    <s v="Delivered"/>
    <x v="281"/>
    <n v="18"/>
    <n v="-1"/>
    <n v="0"/>
    <x v="2"/>
  </r>
  <r>
    <s v="PO-1283"/>
    <x v="3"/>
    <x v="2"/>
    <s v="IN-South"/>
    <d v="2024-09-26T00:00:00"/>
    <d v="2024-10-03T00:00:00"/>
    <d v="2024-10-04T00:00:00"/>
    <n v="748"/>
    <n v="684"/>
    <s v="Delivered"/>
    <x v="282"/>
    <n v="7"/>
    <n v="1"/>
    <n v="0"/>
    <x v="2"/>
  </r>
  <r>
    <s v="PO-1284"/>
    <x v="5"/>
    <x v="4"/>
    <s v="IN-South"/>
    <d v="2024-09-12T00:00:00"/>
    <d v="2024-10-03T00:00:00"/>
    <d v="2024-10-02T00:00:00"/>
    <n v="1759"/>
    <n v="1630"/>
    <s v="Delivered"/>
    <x v="283"/>
    <n v="21"/>
    <n v="-1"/>
    <n v="0"/>
    <x v="1"/>
  </r>
  <r>
    <s v="PO-1285"/>
    <x v="5"/>
    <x v="2"/>
    <s v="IN-North"/>
    <d v="2024-09-14T00:00:00"/>
    <d v="2024-09-21T00:00:00"/>
    <d v="2024-09-21T00:00:00"/>
    <n v="1035"/>
    <n v="942"/>
    <s v="Delivered"/>
    <x v="284"/>
    <n v="7"/>
    <n v="0"/>
    <n v="0"/>
    <x v="1"/>
  </r>
  <r>
    <s v="PO-1286"/>
    <x v="1"/>
    <x v="0"/>
    <s v="IN-West"/>
    <d v="2024-09-20T00:00:00"/>
    <d v="2024-10-08T00:00:00"/>
    <d v="2024-10-06T00:00:00"/>
    <n v="1684"/>
    <n v="1647"/>
    <s v="Delivered"/>
    <x v="285"/>
    <n v="18"/>
    <n v="-2"/>
    <n v="1"/>
    <x v="0"/>
  </r>
  <r>
    <s v="PO-1287"/>
    <x v="2"/>
    <x v="1"/>
    <s v="IN-North"/>
    <d v="2024-09-22T00:00:00"/>
    <d v="2024-09-28T00:00:00"/>
    <d v="2024-09-27T00:00:00"/>
    <n v="816"/>
    <n v="756"/>
    <s v="Delivered"/>
    <x v="286"/>
    <n v="6"/>
    <n v="-1"/>
    <n v="0"/>
    <x v="1"/>
  </r>
  <r>
    <s v="PO-1288"/>
    <x v="5"/>
    <x v="2"/>
    <s v="IN-North"/>
    <d v="2024-09-14T00:00:00"/>
    <d v="2024-09-21T00:00:00"/>
    <d v="2024-09-20T00:00:00"/>
    <n v="1802"/>
    <n v="1635"/>
    <s v="Delivered"/>
    <x v="287"/>
    <n v="7"/>
    <n v="-1"/>
    <n v="0"/>
    <x v="1"/>
  </r>
  <r>
    <s v="PO-1289"/>
    <x v="6"/>
    <x v="3"/>
    <s v="APAC"/>
    <d v="2024-09-20T00:00:00"/>
    <d v="2024-09-25T00:00:00"/>
    <d v="2024-09-23T00:00:00"/>
    <n v="823"/>
    <n v="741"/>
    <s v="Delivered"/>
    <x v="288"/>
    <n v="5"/>
    <n v="-2"/>
    <n v="0"/>
    <x v="1"/>
  </r>
  <r>
    <s v="PO-1290"/>
    <x v="3"/>
    <x v="0"/>
    <s v="APAC"/>
    <d v="2024-09-26T00:00:00"/>
    <d v="2024-10-14T00:00:00"/>
    <d v="2024-10-14T00:00:00"/>
    <n v="1417"/>
    <n v="1294"/>
    <s v="Delivered"/>
    <x v="289"/>
    <n v="18"/>
    <n v="0"/>
    <n v="0"/>
    <x v="2"/>
  </r>
  <r>
    <s v="PO-1291"/>
    <x v="4"/>
    <x v="1"/>
    <s v="IN-North"/>
    <d v="2024-09-16T00:00:00"/>
    <d v="2024-09-22T00:00:00"/>
    <d v="2024-09-21T00:00:00"/>
    <n v="853"/>
    <n v="792"/>
    <s v="Delivered"/>
    <x v="290"/>
    <n v="6"/>
    <n v="-1"/>
    <n v="0"/>
    <x v="2"/>
  </r>
  <r>
    <s v="PO-1292"/>
    <x v="7"/>
    <x v="1"/>
    <s v="IN-North"/>
    <d v="2024-09-11T00:00:00"/>
    <d v="2024-09-17T00:00:00"/>
    <d v="2024-09-16T00:00:00"/>
    <n v="947"/>
    <n v="863"/>
    <s v="Delivered"/>
    <x v="291"/>
    <n v="6"/>
    <n v="-1"/>
    <n v="0"/>
    <x v="2"/>
  </r>
  <r>
    <s v="PO-1293"/>
    <x v="2"/>
    <x v="1"/>
    <s v="IN-North"/>
    <d v="2024-09-22T00:00:00"/>
    <d v="2024-09-28T00:00:00"/>
    <d v="2024-10-12T00:00:00"/>
    <n v="1650"/>
    <n v="1519"/>
    <s v="Delivered"/>
    <x v="292"/>
    <n v="6"/>
    <n v="14"/>
    <n v="0"/>
    <x v="1"/>
  </r>
  <r>
    <s v="PO-1294"/>
    <x v="6"/>
    <x v="2"/>
    <s v="APAC"/>
    <d v="2024-09-22T00:00:00"/>
    <d v="2024-09-29T00:00:00"/>
    <d v="2024-09-28T00:00:00"/>
    <n v="695"/>
    <n v="643"/>
    <s v="Delivered"/>
    <x v="293"/>
    <n v="7"/>
    <n v="-1"/>
    <n v="0"/>
    <x v="1"/>
  </r>
  <r>
    <s v="PO-1295"/>
    <x v="5"/>
    <x v="4"/>
    <s v="APAC"/>
    <d v="2024-09-03T00:00:00"/>
    <d v="2024-09-24T00:00:00"/>
    <d v="2024-09-24T00:00:00"/>
    <n v="1056"/>
    <n v="1007"/>
    <s v="Delivered"/>
    <x v="294"/>
    <n v="21"/>
    <n v="0"/>
    <n v="1"/>
    <x v="1"/>
  </r>
  <r>
    <s v="PO-1296"/>
    <x v="4"/>
    <x v="1"/>
    <s v="IN-West"/>
    <d v="2024-09-04T00:00:00"/>
    <d v="2024-09-10T00:00:00"/>
    <d v="2024-09-09T00:00:00"/>
    <n v="540"/>
    <n v="520"/>
    <s v="Delivered"/>
    <x v="295"/>
    <n v="6"/>
    <n v="-1"/>
    <n v="1"/>
    <x v="2"/>
  </r>
  <r>
    <s v="PO-1297"/>
    <x v="0"/>
    <x v="1"/>
    <s v="APAC"/>
    <d v="2024-09-25T00:00:00"/>
    <d v="2024-10-01T00:00:00"/>
    <d v="2024-10-14T00:00:00"/>
    <n v="416"/>
    <n v="325"/>
    <s v="Delivered"/>
    <x v="296"/>
    <n v="6"/>
    <n v="13"/>
    <n v="0"/>
    <x v="0"/>
  </r>
  <r>
    <s v="PO-1298"/>
    <x v="6"/>
    <x v="3"/>
    <s v="IN-North"/>
    <d v="2024-09-15T00:00:00"/>
    <d v="2024-09-20T00:00:00"/>
    <d v="2024-09-20T00:00:00"/>
    <n v="1405"/>
    <n v="1361"/>
    <s v="Delivered"/>
    <x v="297"/>
    <n v="5"/>
    <n v="0"/>
    <n v="1"/>
    <x v="1"/>
  </r>
  <r>
    <s v="PO-1299"/>
    <x v="5"/>
    <x v="0"/>
    <s v="IN-West"/>
    <d v="2024-09-16T00:00:00"/>
    <d v="2024-10-04T00:00:00"/>
    <d v="2024-10-02T00:00:00"/>
    <n v="1902"/>
    <n v="1890"/>
    <s v="Delivered"/>
    <x v="298"/>
    <n v="18"/>
    <n v="-2"/>
    <n v="1"/>
    <x v="1"/>
  </r>
  <r>
    <s v="PO-1300"/>
    <x v="5"/>
    <x v="0"/>
    <s v="IN-South"/>
    <d v="2024-09-11T00:00:00"/>
    <d v="2024-09-29T00:00:00"/>
    <d v="2024-09-27T00:00:00"/>
    <n v="1097"/>
    <n v="1066"/>
    <s v="Delivered"/>
    <x v="299"/>
    <n v="18"/>
    <n v="-2"/>
    <n v="1"/>
    <x v="1"/>
  </r>
  <r>
    <s v="PO-1301"/>
    <x v="7"/>
    <x v="0"/>
    <s v="IN-West"/>
    <d v="2024-09-10T00:00:00"/>
    <d v="2024-09-28T00:00:00"/>
    <d v="2024-09-26T00:00:00"/>
    <n v="1586"/>
    <n v="1554"/>
    <s v="Delivered"/>
    <x v="300"/>
    <n v="18"/>
    <n v="-2"/>
    <n v="1"/>
    <x v="2"/>
  </r>
  <r>
    <s v="PO-1302"/>
    <x v="2"/>
    <x v="1"/>
    <s v="IN-North"/>
    <d v="2024-09-18T00:00:00"/>
    <d v="2024-09-24T00:00:00"/>
    <d v="2024-09-23T00:00:00"/>
    <n v="1146"/>
    <n v="1057"/>
    <s v="Delivered"/>
    <x v="301"/>
    <n v="6"/>
    <n v="-1"/>
    <n v="0"/>
    <x v="1"/>
  </r>
  <r>
    <s v="PO-1303"/>
    <x v="3"/>
    <x v="3"/>
    <s v="IN-North"/>
    <d v="2024-09-21T00:00:00"/>
    <d v="2024-09-26T00:00:00"/>
    <d v="2024-09-26T00:00:00"/>
    <n v="1457"/>
    <n v="1439"/>
    <s v="Delivered"/>
    <x v="302"/>
    <n v="5"/>
    <n v="0"/>
    <n v="1"/>
    <x v="2"/>
  </r>
  <r>
    <s v="PO-1304"/>
    <x v="7"/>
    <x v="1"/>
    <s v="APAC"/>
    <d v="2024-09-13T00:00:00"/>
    <d v="2024-09-19T00:00:00"/>
    <d v="2024-09-21T00:00:00"/>
    <n v="770"/>
    <n v="750"/>
    <s v="Delivered"/>
    <x v="303"/>
    <n v="6"/>
    <n v="2"/>
    <n v="0"/>
    <x v="2"/>
  </r>
  <r>
    <s v="PO-1305"/>
    <x v="1"/>
    <x v="1"/>
    <s v="IN-West"/>
    <d v="2024-09-26T00:00:00"/>
    <d v="2024-10-02T00:00:00"/>
    <d v="2024-09-30T00:00:00"/>
    <n v="1137"/>
    <n v="915"/>
    <s v="Delivered"/>
    <x v="304"/>
    <n v="6"/>
    <n v="-2"/>
    <n v="0"/>
    <x v="0"/>
  </r>
  <r>
    <s v="PO-1306"/>
    <x v="7"/>
    <x v="1"/>
    <s v="IN-South"/>
    <d v="2024-09-20T00:00:00"/>
    <d v="2024-09-26T00:00:00"/>
    <d v="2024-09-26T00:00:00"/>
    <n v="433"/>
    <n v="404"/>
    <s v="Delivered"/>
    <x v="305"/>
    <n v="6"/>
    <n v="0"/>
    <n v="0"/>
    <x v="2"/>
  </r>
  <r>
    <s v="PO-1307"/>
    <x v="7"/>
    <x v="1"/>
    <s v="IN-North"/>
    <d v="2024-09-27T00:00:00"/>
    <d v="2024-10-03T00:00:00"/>
    <d v="2024-10-08T00:00:00"/>
    <n v="373"/>
    <n v="360"/>
    <s v="Delivered"/>
    <x v="306"/>
    <n v="6"/>
    <n v="5"/>
    <n v="0"/>
    <x v="2"/>
  </r>
  <r>
    <s v="PO-1308"/>
    <x v="4"/>
    <x v="2"/>
    <s v="IN-North"/>
    <d v="2024-09-10T00:00:00"/>
    <d v="2024-09-17T00:00:00"/>
    <d v="2024-09-17T00:00:00"/>
    <n v="489"/>
    <n v="465"/>
    <s v="Delivered"/>
    <x v="307"/>
    <n v="7"/>
    <n v="0"/>
    <n v="1"/>
    <x v="2"/>
  </r>
  <r>
    <s v="PO-1309"/>
    <x v="3"/>
    <x v="1"/>
    <s v="IN-North"/>
    <d v="2024-09-19T00:00:00"/>
    <d v="2024-09-25T00:00:00"/>
    <d v="2024-09-24T00:00:00"/>
    <n v="1501"/>
    <n v="1431"/>
    <s v="Delivered"/>
    <x v="308"/>
    <n v="6"/>
    <n v="-1"/>
    <n v="1"/>
    <x v="2"/>
  </r>
  <r>
    <s v="PO-1310"/>
    <x v="5"/>
    <x v="1"/>
    <s v="IN-North"/>
    <d v="2024-09-16T00:00:00"/>
    <d v="2024-09-22T00:00:00"/>
    <d v="2024-09-21T00:00:00"/>
    <n v="1924"/>
    <n v="1818"/>
    <s v="Delivered"/>
    <x v="309"/>
    <n v="6"/>
    <n v="-1"/>
    <n v="0"/>
    <x v="1"/>
  </r>
  <r>
    <s v="PO-1311"/>
    <x v="0"/>
    <x v="0"/>
    <s v="IN-West"/>
    <d v="2024-09-16T00:00:00"/>
    <d v="2024-10-04T00:00:00"/>
    <d v="2024-10-04T00:00:00"/>
    <n v="1537"/>
    <n v="1366"/>
    <s v="Delivered"/>
    <x v="310"/>
    <n v="18"/>
    <n v="0"/>
    <n v="0"/>
    <x v="0"/>
  </r>
  <r>
    <s v="PO-1312"/>
    <x v="7"/>
    <x v="4"/>
    <s v="APAC"/>
    <d v="2024-09-16T00:00:00"/>
    <d v="2024-10-07T00:00:00"/>
    <d v="2024-10-05T00:00:00"/>
    <n v="798"/>
    <n v="720"/>
    <s v="Delivered"/>
    <x v="311"/>
    <n v="21"/>
    <n v="-2"/>
    <n v="0"/>
    <x v="2"/>
  </r>
  <r>
    <s v="PO-1313"/>
    <x v="2"/>
    <x v="1"/>
    <s v="IN-South"/>
    <d v="2024-09-06T00:00:00"/>
    <d v="2024-09-12T00:00:00"/>
    <d v="2024-09-11T00:00:00"/>
    <n v="1325"/>
    <n v="1260"/>
    <s v="Delivered"/>
    <x v="312"/>
    <n v="6"/>
    <n v="-1"/>
    <n v="1"/>
    <x v="1"/>
  </r>
  <r>
    <s v="PO-1314"/>
    <x v="1"/>
    <x v="0"/>
    <s v="IN-South"/>
    <d v="2024-09-18T00:00:00"/>
    <d v="2024-10-06T00:00:00"/>
    <d v="2024-10-04T00:00:00"/>
    <n v="1707"/>
    <n v="1643"/>
    <s v="Delivered"/>
    <x v="313"/>
    <n v="18"/>
    <n v="-2"/>
    <n v="1"/>
    <x v="0"/>
  </r>
  <r>
    <s v="PO-1315"/>
    <x v="6"/>
    <x v="2"/>
    <s v="APAC"/>
    <d v="2024-10-09T00:00:00"/>
    <d v="2024-10-16T00:00:00"/>
    <d v="2024-10-17T00:00:00"/>
    <n v="1099"/>
    <n v="1084"/>
    <s v="Delivered"/>
    <x v="314"/>
    <n v="7"/>
    <n v="1"/>
    <n v="0"/>
    <x v="1"/>
  </r>
  <r>
    <s v="PO-1316"/>
    <x v="1"/>
    <x v="3"/>
    <s v="IN-North"/>
    <d v="2024-10-26T00:00:00"/>
    <d v="2024-10-31T00:00:00"/>
    <d v="2024-11-05T00:00:00"/>
    <n v="1495"/>
    <n v="1306"/>
    <s v="Delivered"/>
    <x v="315"/>
    <n v="5"/>
    <n v="5"/>
    <n v="0"/>
    <x v="0"/>
  </r>
  <r>
    <s v="PO-1317"/>
    <x v="5"/>
    <x v="3"/>
    <s v="IN-North"/>
    <d v="2024-10-26T00:00:00"/>
    <d v="2024-10-31T00:00:00"/>
    <d v="2024-10-31T00:00:00"/>
    <n v="775"/>
    <n v="743"/>
    <s v="Delivered"/>
    <x v="316"/>
    <n v="5"/>
    <n v="0"/>
    <n v="1"/>
    <x v="1"/>
  </r>
  <r>
    <s v="PO-1318"/>
    <x v="5"/>
    <x v="0"/>
    <s v="IN-South"/>
    <d v="2024-10-10T00:00:00"/>
    <d v="2024-10-28T00:00:00"/>
    <d v="2024-10-27T00:00:00"/>
    <n v="321"/>
    <n v="320"/>
    <s v="Delivered"/>
    <x v="317"/>
    <n v="18"/>
    <n v="-1"/>
    <n v="1"/>
    <x v="1"/>
  </r>
  <r>
    <s v="PO-1319"/>
    <x v="5"/>
    <x v="3"/>
    <s v="IN-North"/>
    <d v="2024-10-05T00:00:00"/>
    <d v="2024-10-10T00:00:00"/>
    <d v="2024-10-16T00:00:00"/>
    <n v="1004"/>
    <n v="952"/>
    <s v="Delivered"/>
    <x v="318"/>
    <n v="5"/>
    <n v="6"/>
    <n v="0"/>
    <x v="1"/>
  </r>
  <r>
    <s v="PO-1320"/>
    <x v="6"/>
    <x v="4"/>
    <s v="APAC"/>
    <d v="2024-10-15T00:00:00"/>
    <d v="2024-11-05T00:00:00"/>
    <d v="2024-11-05T00:00:00"/>
    <n v="1996"/>
    <n v="1870"/>
    <s v="Delivered"/>
    <x v="319"/>
    <n v="21"/>
    <n v="0"/>
    <n v="0"/>
    <x v="1"/>
  </r>
  <r>
    <s v="PO-1321"/>
    <x v="7"/>
    <x v="0"/>
    <s v="IN-West"/>
    <d v="2024-10-28T00:00:00"/>
    <d v="2024-11-15T00:00:00"/>
    <d v="2024-11-13T00:00:00"/>
    <n v="1829"/>
    <n v="1743"/>
    <s v="Delivered"/>
    <x v="320"/>
    <n v="18"/>
    <n v="-2"/>
    <n v="1"/>
    <x v="2"/>
  </r>
  <r>
    <s v="PO-1322"/>
    <x v="2"/>
    <x v="4"/>
    <s v="IN-North"/>
    <d v="2024-10-16T00:00:00"/>
    <d v="2024-11-06T00:00:00"/>
    <d v="2024-11-06T00:00:00"/>
    <n v="467"/>
    <n v="446"/>
    <s v="Delivered"/>
    <x v="321"/>
    <n v="21"/>
    <n v="0"/>
    <n v="1"/>
    <x v="1"/>
  </r>
  <r>
    <s v="PO-1323"/>
    <x v="7"/>
    <x v="0"/>
    <s v="IN-West"/>
    <d v="2024-10-02T00:00:00"/>
    <d v="2024-10-20T00:00:00"/>
    <d v="2024-10-18T00:00:00"/>
    <n v="1103"/>
    <n v="1043"/>
    <s v="Delivered"/>
    <x v="322"/>
    <n v="18"/>
    <n v="-2"/>
    <n v="0"/>
    <x v="2"/>
  </r>
  <r>
    <s v="PO-1324"/>
    <x v="3"/>
    <x v="3"/>
    <s v="IN-North"/>
    <d v="2024-10-21T00:00:00"/>
    <d v="2024-10-26T00:00:00"/>
    <d v="2024-10-25T00:00:00"/>
    <n v="391"/>
    <n v="377"/>
    <s v="Delivered"/>
    <x v="323"/>
    <n v="5"/>
    <n v="-1"/>
    <n v="1"/>
    <x v="2"/>
  </r>
  <r>
    <s v="PO-1325"/>
    <x v="6"/>
    <x v="2"/>
    <s v="IN-South"/>
    <d v="2024-10-22T00:00:00"/>
    <d v="2024-10-29T00:00:00"/>
    <d v="2024-10-29T00:00:00"/>
    <n v="825"/>
    <n v="802"/>
    <s v="Delivered"/>
    <x v="324"/>
    <n v="7"/>
    <n v="0"/>
    <n v="1"/>
    <x v="1"/>
  </r>
  <r>
    <s v="PO-1326"/>
    <x v="2"/>
    <x v="4"/>
    <s v="IN-West"/>
    <d v="2024-10-23T00:00:00"/>
    <d v="2024-11-13T00:00:00"/>
    <d v="2024-11-13T00:00:00"/>
    <n v="663"/>
    <n v="631"/>
    <s v="Delivered"/>
    <x v="325"/>
    <n v="21"/>
    <n v="0"/>
    <n v="1"/>
    <x v="1"/>
  </r>
  <r>
    <s v="PO-1327"/>
    <x v="7"/>
    <x v="2"/>
    <s v="IN-West"/>
    <d v="2024-10-23T00:00:00"/>
    <d v="2024-10-30T00:00:00"/>
    <d v="2024-11-03T00:00:00"/>
    <n v="1621"/>
    <n v="1480"/>
    <s v="Delivered"/>
    <x v="326"/>
    <n v="7"/>
    <n v="4"/>
    <n v="0"/>
    <x v="2"/>
  </r>
  <r>
    <s v="PO-1328"/>
    <x v="1"/>
    <x v="3"/>
    <s v="APAC"/>
    <d v="2024-10-03T00:00:00"/>
    <d v="2024-10-08T00:00:00"/>
    <d v="2024-10-07T00:00:00"/>
    <n v="812"/>
    <n v="657"/>
    <s v="Delivered"/>
    <x v="327"/>
    <n v="5"/>
    <n v="-1"/>
    <n v="0"/>
    <x v="0"/>
  </r>
  <r>
    <s v="PO-1329"/>
    <x v="5"/>
    <x v="3"/>
    <s v="IN-West"/>
    <d v="2024-10-17T00:00:00"/>
    <d v="2024-10-22T00:00:00"/>
    <d v="2024-10-20T00:00:00"/>
    <n v="1101"/>
    <n v="1029"/>
    <s v="Delivered"/>
    <x v="328"/>
    <n v="5"/>
    <n v="-2"/>
    <n v="0"/>
    <x v="1"/>
  </r>
  <r>
    <s v="PO-1330"/>
    <x v="2"/>
    <x v="3"/>
    <s v="APAC"/>
    <d v="2024-10-20T00:00:00"/>
    <d v="2024-10-25T00:00:00"/>
    <d v="2024-10-26T00:00:00"/>
    <n v="405"/>
    <n v="370"/>
    <s v="Delivered"/>
    <x v="329"/>
    <n v="5"/>
    <n v="1"/>
    <n v="0"/>
    <x v="1"/>
  </r>
  <r>
    <s v="PO-1331"/>
    <x v="1"/>
    <x v="1"/>
    <s v="APAC"/>
    <d v="2024-10-12T00:00:00"/>
    <d v="2024-10-18T00:00:00"/>
    <d v="2024-10-16T00:00:00"/>
    <n v="707"/>
    <n v="594"/>
    <s v="Delivered"/>
    <x v="330"/>
    <n v="6"/>
    <n v="-2"/>
    <n v="0"/>
    <x v="0"/>
  </r>
  <r>
    <s v="PO-1332"/>
    <x v="1"/>
    <x v="3"/>
    <s v="IN-South"/>
    <d v="2024-10-25T00:00:00"/>
    <d v="2024-10-30T00:00:00"/>
    <d v="2024-11-05T00:00:00"/>
    <n v="1993"/>
    <n v="1686"/>
    <s v="Delivered"/>
    <x v="331"/>
    <n v="5"/>
    <n v="6"/>
    <n v="0"/>
    <x v="0"/>
  </r>
  <r>
    <s v="PO-1333"/>
    <x v="2"/>
    <x v="4"/>
    <s v="IN-South"/>
    <d v="2024-10-21T00:00:00"/>
    <d v="2024-11-11T00:00:00"/>
    <d v="2024-11-10T00:00:00"/>
    <n v="1506"/>
    <n v="1444"/>
    <s v="Delivered"/>
    <x v="332"/>
    <n v="21"/>
    <n v="-1"/>
    <n v="1"/>
    <x v="1"/>
  </r>
  <r>
    <s v="PO-1334"/>
    <x v="0"/>
    <x v="0"/>
    <s v="IN-South"/>
    <d v="2024-10-05T00:00:00"/>
    <d v="2024-10-23T00:00:00"/>
    <d v="2024-10-22T00:00:00"/>
    <n v="1777"/>
    <n v="1414"/>
    <s v="Delivered"/>
    <x v="333"/>
    <n v="18"/>
    <n v="-1"/>
    <n v="0"/>
    <x v="0"/>
  </r>
  <r>
    <s v="PO-1335"/>
    <x v="1"/>
    <x v="2"/>
    <s v="IN-South"/>
    <d v="2024-10-07T00:00:00"/>
    <d v="2024-10-14T00:00:00"/>
    <d v="2024-10-18T00:00:00"/>
    <n v="1237"/>
    <n v="1042"/>
    <s v="Delivered"/>
    <x v="334"/>
    <n v="7"/>
    <n v="4"/>
    <n v="0"/>
    <x v="0"/>
  </r>
  <r>
    <s v="PO-1336"/>
    <x v="3"/>
    <x v="4"/>
    <s v="APAC"/>
    <d v="2024-10-03T00:00:00"/>
    <d v="2024-10-24T00:00:00"/>
    <d v="2024-10-22T00:00:00"/>
    <n v="1854"/>
    <n v="1697"/>
    <s v="Delivered"/>
    <x v="335"/>
    <n v="21"/>
    <n v="-2"/>
    <n v="0"/>
    <x v="2"/>
  </r>
  <r>
    <s v="PO-1337"/>
    <x v="4"/>
    <x v="4"/>
    <s v="IN-West"/>
    <d v="2024-10-10T00:00:00"/>
    <d v="2024-10-31T00:00:00"/>
    <d v="2024-10-30T00:00:00"/>
    <n v="437"/>
    <n v="413"/>
    <s v="Delivered"/>
    <x v="336"/>
    <n v="21"/>
    <n v="-1"/>
    <n v="0"/>
    <x v="2"/>
  </r>
  <r>
    <s v="PO-1338"/>
    <x v="0"/>
    <x v="0"/>
    <s v="IN-North"/>
    <d v="2024-10-04T00:00:00"/>
    <d v="2024-10-22T00:00:00"/>
    <d v="2024-10-21T00:00:00"/>
    <n v="1271"/>
    <n v="1136"/>
    <s v="Delivered"/>
    <x v="337"/>
    <n v="18"/>
    <n v="-1"/>
    <n v="0"/>
    <x v="0"/>
  </r>
  <r>
    <s v="PO-1339"/>
    <x v="6"/>
    <x v="3"/>
    <s v="IN-South"/>
    <d v="2024-10-05T00:00:00"/>
    <d v="2024-10-10T00:00:00"/>
    <d v="2024-10-11T00:00:00"/>
    <n v="1779"/>
    <n v="1761"/>
    <s v="Delivered"/>
    <x v="338"/>
    <n v="5"/>
    <n v="1"/>
    <n v="0"/>
    <x v="1"/>
  </r>
  <r>
    <s v="PO-1340"/>
    <x v="4"/>
    <x v="4"/>
    <s v="IN-South"/>
    <d v="2024-10-17T00:00:00"/>
    <d v="2024-11-07T00:00:00"/>
    <d v="2024-11-05T00:00:00"/>
    <n v="1216"/>
    <n v="1149"/>
    <s v="Delivered"/>
    <x v="339"/>
    <n v="21"/>
    <n v="-2"/>
    <n v="0"/>
    <x v="2"/>
  </r>
  <r>
    <s v="PO-1341"/>
    <x v="4"/>
    <x v="2"/>
    <s v="APAC"/>
    <d v="2024-10-28T00:00:00"/>
    <d v="2024-11-04T00:00:00"/>
    <d v="2024-11-03T00:00:00"/>
    <n v="1783"/>
    <n v="1623"/>
    <s v="Delivered"/>
    <x v="340"/>
    <n v="7"/>
    <n v="-1"/>
    <n v="0"/>
    <x v="2"/>
  </r>
  <r>
    <s v="PO-1342"/>
    <x v="1"/>
    <x v="3"/>
    <s v="IN-West"/>
    <d v="2024-10-02T00:00:00"/>
    <d v="2024-10-07T00:00:00"/>
    <d v="2024-10-06T00:00:00"/>
    <n v="945"/>
    <n v="816"/>
    <s v="Delivered"/>
    <x v="341"/>
    <n v="5"/>
    <n v="-1"/>
    <n v="0"/>
    <x v="0"/>
  </r>
  <r>
    <s v="PO-1343"/>
    <x v="5"/>
    <x v="3"/>
    <s v="IN-West"/>
    <d v="2024-10-18T00:00:00"/>
    <d v="2024-10-23T00:00:00"/>
    <d v="2024-10-21T00:00:00"/>
    <n v="1052"/>
    <n v="1043"/>
    <s v="Delivered"/>
    <x v="342"/>
    <n v="5"/>
    <n v="-2"/>
    <n v="1"/>
    <x v="1"/>
  </r>
  <r>
    <s v="PO-1344"/>
    <x v="4"/>
    <x v="0"/>
    <s v="IN-West"/>
    <d v="2024-10-19T00:00:00"/>
    <d v="2024-11-06T00:00:00"/>
    <d v="2024-11-04T00:00:00"/>
    <n v="657"/>
    <n v="644"/>
    <s v="Delivered"/>
    <x v="343"/>
    <n v="18"/>
    <n v="-2"/>
    <n v="1"/>
    <x v="2"/>
  </r>
  <r>
    <s v="PO-1345"/>
    <x v="0"/>
    <x v="4"/>
    <s v="IN-West"/>
    <d v="2024-10-15T00:00:00"/>
    <d v="2024-11-05T00:00:00"/>
    <d v="2024-11-03T00:00:00"/>
    <n v="955"/>
    <n v="787"/>
    <s v="Delivered"/>
    <x v="344"/>
    <n v="21"/>
    <n v="-2"/>
    <n v="0"/>
    <x v="0"/>
  </r>
  <r>
    <s v="PO-1346"/>
    <x v="6"/>
    <x v="1"/>
    <s v="IN-North"/>
    <d v="2024-10-15T00:00:00"/>
    <d v="2024-10-21T00:00:00"/>
    <d v="2024-10-20T00:00:00"/>
    <n v="1782"/>
    <n v="1742"/>
    <s v="Delivered"/>
    <x v="345"/>
    <n v="6"/>
    <n v="-1"/>
    <n v="1"/>
    <x v="1"/>
  </r>
  <r>
    <s v="PO-1347"/>
    <x v="2"/>
    <x v="3"/>
    <s v="IN-West"/>
    <d v="2024-10-14T00:00:00"/>
    <d v="2024-10-19T00:00:00"/>
    <d v="2024-10-18T00:00:00"/>
    <n v="1502"/>
    <n v="1477"/>
    <s v="Delivered"/>
    <x v="346"/>
    <n v="5"/>
    <n v="-1"/>
    <n v="1"/>
    <x v="1"/>
  </r>
  <r>
    <s v="PO-1348"/>
    <x v="0"/>
    <x v="0"/>
    <s v="IN-West"/>
    <d v="2024-10-25T00:00:00"/>
    <d v="2024-11-12T00:00:00"/>
    <d v="2024-11-10T00:00:00"/>
    <n v="1059"/>
    <n v="940"/>
    <s v="Delivered"/>
    <x v="347"/>
    <n v="18"/>
    <n v="-2"/>
    <n v="0"/>
    <x v="0"/>
  </r>
  <r>
    <s v="PO-1349"/>
    <x v="0"/>
    <x v="3"/>
    <s v="IN-South"/>
    <d v="2024-10-03T00:00:00"/>
    <d v="2024-10-08T00:00:00"/>
    <d v="2024-10-13T00:00:00"/>
    <n v="1045"/>
    <n v="976"/>
    <s v="Delivered"/>
    <x v="348"/>
    <n v="5"/>
    <n v="5"/>
    <n v="0"/>
    <x v="0"/>
  </r>
  <r>
    <s v="PO-1350"/>
    <x v="4"/>
    <x v="4"/>
    <s v="IN-West"/>
    <d v="2024-10-19T00:00:00"/>
    <d v="2024-11-09T00:00:00"/>
    <d v="2024-11-09T00:00:00"/>
    <n v="1362"/>
    <n v="1234"/>
    <s v="Delivered"/>
    <x v="349"/>
    <n v="21"/>
    <n v="0"/>
    <n v="0"/>
    <x v="2"/>
  </r>
  <r>
    <s v="PO-1351"/>
    <x v="5"/>
    <x v="3"/>
    <s v="IN-South"/>
    <d v="2024-10-09T00:00:00"/>
    <d v="2024-10-14T00:00:00"/>
    <d v="2024-10-18T00:00:00"/>
    <n v="1635"/>
    <n v="1607"/>
    <s v="Delivered"/>
    <x v="350"/>
    <n v="5"/>
    <n v="4"/>
    <n v="0"/>
    <x v="1"/>
  </r>
  <r>
    <s v="PO-1352"/>
    <x v="4"/>
    <x v="0"/>
    <s v="APAC"/>
    <d v="2024-10-09T00:00:00"/>
    <d v="2024-10-27T00:00:00"/>
    <d v="2024-10-27T00:00:00"/>
    <n v="423"/>
    <n v="387"/>
    <s v="Delivered"/>
    <x v="351"/>
    <n v="18"/>
    <n v="0"/>
    <n v="0"/>
    <x v="2"/>
  </r>
  <r>
    <s v="PO-1353"/>
    <x v="5"/>
    <x v="4"/>
    <s v="APAC"/>
    <d v="2024-10-11T00:00:00"/>
    <d v="2024-11-01T00:00:00"/>
    <d v="2024-10-30T00:00:00"/>
    <n v="1125"/>
    <n v="1047"/>
    <s v="Delivered"/>
    <x v="352"/>
    <n v="21"/>
    <n v="-2"/>
    <n v="0"/>
    <x v="1"/>
  </r>
  <r>
    <s v="PO-1354"/>
    <x v="6"/>
    <x v="2"/>
    <s v="IN-West"/>
    <d v="2024-10-06T00:00:00"/>
    <d v="2024-10-13T00:00:00"/>
    <d v="2024-10-19T00:00:00"/>
    <n v="1435"/>
    <n v="1297"/>
    <s v="Delivered"/>
    <x v="353"/>
    <n v="7"/>
    <n v="6"/>
    <n v="0"/>
    <x v="1"/>
  </r>
  <r>
    <s v="PO-1355"/>
    <x v="4"/>
    <x v="3"/>
    <s v="IN-West"/>
    <d v="2024-10-23T00:00:00"/>
    <d v="2024-10-28T00:00:00"/>
    <d v="2024-11-10T00:00:00"/>
    <n v="1251"/>
    <n v="1132"/>
    <s v="Delivered"/>
    <x v="354"/>
    <n v="5"/>
    <n v="13"/>
    <n v="0"/>
    <x v="2"/>
  </r>
  <r>
    <s v="PO-1356"/>
    <x v="6"/>
    <x v="0"/>
    <s v="IN-North"/>
    <d v="2024-10-01T00:00:00"/>
    <d v="2024-10-19T00:00:00"/>
    <d v="2024-10-17T00:00:00"/>
    <n v="1146"/>
    <n v="1043"/>
    <s v="Delivered"/>
    <x v="355"/>
    <n v="18"/>
    <n v="-2"/>
    <n v="0"/>
    <x v="1"/>
  </r>
  <r>
    <s v="PO-1357"/>
    <x v="5"/>
    <x v="2"/>
    <s v="IN-West"/>
    <d v="2024-10-02T00:00:00"/>
    <d v="2024-10-09T00:00:00"/>
    <d v="2024-10-08T00:00:00"/>
    <n v="962"/>
    <n v="931"/>
    <s v="Delivered"/>
    <x v="356"/>
    <n v="7"/>
    <n v="-1"/>
    <n v="1"/>
    <x v="1"/>
  </r>
  <r>
    <s v="PO-1358"/>
    <x v="1"/>
    <x v="1"/>
    <s v="IN-South"/>
    <d v="2024-10-27T00:00:00"/>
    <d v="2024-11-02T00:00:00"/>
    <d v="2024-10-31T00:00:00"/>
    <n v="604"/>
    <n v="591"/>
    <s v="Delivered"/>
    <x v="357"/>
    <n v="6"/>
    <n v="-2"/>
    <n v="1"/>
    <x v="0"/>
  </r>
  <r>
    <s v="PO-1359"/>
    <x v="7"/>
    <x v="3"/>
    <s v="IN-West"/>
    <d v="2024-10-28T00:00:00"/>
    <d v="2024-11-02T00:00:00"/>
    <d v="2024-11-01T00:00:00"/>
    <n v="303"/>
    <n v="277"/>
    <s v="Delivered"/>
    <x v="358"/>
    <n v="5"/>
    <n v="-1"/>
    <n v="0"/>
    <x v="2"/>
  </r>
  <r>
    <s v="PO-1360"/>
    <x v="3"/>
    <x v="4"/>
    <s v="APAC"/>
    <d v="2024-10-01T00:00:00"/>
    <d v="2024-10-22T00:00:00"/>
    <d v="2024-10-20T00:00:00"/>
    <n v="763"/>
    <n v="708"/>
    <s v="Delivered"/>
    <x v="359"/>
    <n v="21"/>
    <n v="-2"/>
    <n v="0"/>
    <x v="2"/>
  </r>
  <r>
    <s v="PO-1361"/>
    <x v="5"/>
    <x v="2"/>
    <s v="IN-North"/>
    <d v="2024-10-21T00:00:00"/>
    <d v="2024-10-28T00:00:00"/>
    <d v="2024-10-28T00:00:00"/>
    <n v="1181"/>
    <n v="1070"/>
    <s v="Delivered"/>
    <x v="360"/>
    <n v="7"/>
    <n v="0"/>
    <n v="0"/>
    <x v="1"/>
  </r>
  <r>
    <s v="PO-1362"/>
    <x v="6"/>
    <x v="4"/>
    <s v="IN-North"/>
    <d v="2024-10-14T00:00:00"/>
    <d v="2024-11-04T00:00:00"/>
    <d v="2024-11-02T00:00:00"/>
    <n v="983"/>
    <n v="961"/>
    <s v="Delivered"/>
    <x v="361"/>
    <n v="21"/>
    <n v="-2"/>
    <n v="1"/>
    <x v="1"/>
  </r>
  <r>
    <s v="PO-1363"/>
    <x v="4"/>
    <x v="4"/>
    <s v="APAC"/>
    <d v="2024-10-12T00:00:00"/>
    <d v="2024-11-02T00:00:00"/>
    <d v="2024-11-02T00:00:00"/>
    <n v="648"/>
    <n v="585"/>
    <s v="Delivered"/>
    <x v="362"/>
    <n v="21"/>
    <n v="0"/>
    <n v="0"/>
    <x v="2"/>
  </r>
  <r>
    <s v="PO-1364"/>
    <x v="6"/>
    <x v="2"/>
    <s v="APAC"/>
    <d v="2024-10-17T00:00:00"/>
    <d v="2024-10-24T00:00:00"/>
    <d v="2024-10-26T00:00:00"/>
    <n v="526"/>
    <n v="478"/>
    <s v="Delivered"/>
    <x v="363"/>
    <n v="7"/>
    <n v="2"/>
    <n v="0"/>
    <x v="1"/>
  </r>
  <r>
    <s v="PO-1365"/>
    <x v="2"/>
    <x v="0"/>
    <s v="IN-West"/>
    <d v="2024-10-25T00:00:00"/>
    <d v="2024-11-12T00:00:00"/>
    <d v="2024-11-10T00:00:00"/>
    <n v="560"/>
    <n v="517"/>
    <s v="Delivered"/>
    <x v="364"/>
    <n v="18"/>
    <n v="-2"/>
    <n v="0"/>
    <x v="1"/>
  </r>
  <r>
    <s v="PO-1366"/>
    <x v="4"/>
    <x v="0"/>
    <s v="IN-West"/>
    <d v="2024-10-23T00:00:00"/>
    <d v="2024-11-10T00:00:00"/>
    <d v="2024-11-09T00:00:00"/>
    <n v="1310"/>
    <n v="1219"/>
    <s v="Delivered"/>
    <x v="365"/>
    <n v="18"/>
    <n v="-1"/>
    <n v="0"/>
    <x v="2"/>
  </r>
  <r>
    <s v="PO-1367"/>
    <x v="7"/>
    <x v="2"/>
    <s v="IN-West"/>
    <d v="2024-10-02T00:00:00"/>
    <d v="2024-10-09T00:00:00"/>
    <d v="2024-10-07T00:00:00"/>
    <n v="1278"/>
    <n v="1211"/>
    <s v="Delivered"/>
    <x v="366"/>
    <n v="7"/>
    <n v="-2"/>
    <n v="0"/>
    <x v="2"/>
  </r>
  <r>
    <s v="PO-1368"/>
    <x v="4"/>
    <x v="1"/>
    <s v="IN-North"/>
    <d v="2024-10-26T00:00:00"/>
    <d v="2024-11-01T00:00:00"/>
    <d v="2024-10-30T00:00:00"/>
    <n v="1843"/>
    <n v="1814"/>
    <s v="Delivered"/>
    <x v="367"/>
    <n v="6"/>
    <n v="-2"/>
    <n v="1"/>
    <x v="2"/>
  </r>
  <r>
    <s v="PO-1369"/>
    <x v="4"/>
    <x v="2"/>
    <s v="IN-West"/>
    <d v="2024-10-05T00:00:00"/>
    <d v="2024-10-12T00:00:00"/>
    <d v="2024-10-17T00:00:00"/>
    <n v="1962"/>
    <n v="1837"/>
    <s v="Delivered"/>
    <x v="368"/>
    <n v="7"/>
    <n v="5"/>
    <n v="0"/>
    <x v="2"/>
  </r>
  <r>
    <s v="PO-1370"/>
    <x v="1"/>
    <x v="0"/>
    <s v="APAC"/>
    <d v="2024-10-19T00:00:00"/>
    <d v="2024-11-06T00:00:00"/>
    <d v="2024-11-04T00:00:00"/>
    <n v="1699"/>
    <n v="1679"/>
    <s v="Delivered"/>
    <x v="369"/>
    <n v="18"/>
    <n v="-2"/>
    <n v="1"/>
    <x v="0"/>
  </r>
  <r>
    <s v="PO-1371"/>
    <x v="7"/>
    <x v="0"/>
    <s v="IN-North"/>
    <d v="2024-10-23T00:00:00"/>
    <d v="2024-11-10T00:00:00"/>
    <d v="2024-11-09T00:00:00"/>
    <n v="828"/>
    <n v="805"/>
    <s v="Delivered"/>
    <x v="370"/>
    <n v="18"/>
    <n v="-1"/>
    <n v="1"/>
    <x v="2"/>
  </r>
  <r>
    <s v="PO-1372"/>
    <x v="6"/>
    <x v="3"/>
    <s v="IN-North"/>
    <d v="2024-10-24T00:00:00"/>
    <d v="2024-10-29T00:00:00"/>
    <d v="2024-11-03T00:00:00"/>
    <n v="1001"/>
    <n v="986"/>
    <s v="Delivered"/>
    <x v="371"/>
    <n v="5"/>
    <n v="5"/>
    <n v="0"/>
    <x v="1"/>
  </r>
  <r>
    <s v="PO-1373"/>
    <x v="0"/>
    <x v="3"/>
    <s v="IN-South"/>
    <d v="2024-10-26T00:00:00"/>
    <d v="2024-10-31T00:00:00"/>
    <d v="2024-10-29T00:00:00"/>
    <n v="1216"/>
    <n v="986"/>
    <s v="Delivered"/>
    <x v="372"/>
    <n v="5"/>
    <n v="-2"/>
    <n v="0"/>
    <x v="0"/>
  </r>
  <r>
    <s v="PO-1374"/>
    <x v="1"/>
    <x v="3"/>
    <s v="IN-South"/>
    <d v="2024-10-11T00:00:00"/>
    <d v="2024-10-16T00:00:00"/>
    <d v="2024-10-14T00:00:00"/>
    <n v="1882"/>
    <n v="1761"/>
    <s v="Delivered"/>
    <x v="373"/>
    <n v="5"/>
    <n v="-2"/>
    <n v="0"/>
    <x v="0"/>
  </r>
  <r>
    <s v="PO-1375"/>
    <x v="4"/>
    <x v="4"/>
    <s v="IN-West"/>
    <d v="2024-10-09T00:00:00"/>
    <d v="2024-10-30T00:00:00"/>
    <d v="2024-10-28T00:00:00"/>
    <n v="1675"/>
    <n v="1507"/>
    <s v="Delivered"/>
    <x v="374"/>
    <n v="21"/>
    <n v="-2"/>
    <n v="0"/>
    <x v="2"/>
  </r>
  <r>
    <s v="PO-1376"/>
    <x v="3"/>
    <x v="4"/>
    <s v="APAC"/>
    <d v="2024-10-06T00:00:00"/>
    <d v="2024-10-27T00:00:00"/>
    <d v="2024-10-26T00:00:00"/>
    <n v="407"/>
    <n v="400"/>
    <s v="Delivered"/>
    <x v="375"/>
    <n v="21"/>
    <n v="-1"/>
    <n v="1"/>
    <x v="2"/>
  </r>
  <r>
    <s v="PO-1377"/>
    <x v="2"/>
    <x v="3"/>
    <s v="APAC"/>
    <d v="2024-10-03T00:00:00"/>
    <d v="2024-10-08T00:00:00"/>
    <d v="2024-10-07T00:00:00"/>
    <n v="734"/>
    <n v="730"/>
    <s v="Delivered"/>
    <x v="376"/>
    <n v="5"/>
    <n v="-1"/>
    <n v="1"/>
    <x v="1"/>
  </r>
  <r>
    <s v="PO-1378"/>
    <x v="1"/>
    <x v="0"/>
    <s v="IN-North"/>
    <d v="2024-10-13T00:00:00"/>
    <d v="2024-10-31T00:00:00"/>
    <d v="2024-10-29T00:00:00"/>
    <n v="892"/>
    <n v="812"/>
    <s v="Delivered"/>
    <x v="377"/>
    <n v="18"/>
    <n v="-2"/>
    <n v="0"/>
    <x v="0"/>
  </r>
  <r>
    <s v="PO-1379"/>
    <x v="7"/>
    <x v="2"/>
    <s v="APAC"/>
    <d v="2024-10-21T00:00:00"/>
    <d v="2024-10-28T00:00:00"/>
    <d v="2024-10-27T00:00:00"/>
    <n v="521"/>
    <n v="471"/>
    <s v="Delivered"/>
    <x v="378"/>
    <n v="7"/>
    <n v="-1"/>
    <n v="0"/>
    <x v="2"/>
  </r>
  <r>
    <s v="PO-1380"/>
    <x v="4"/>
    <x v="3"/>
    <s v="IN-North"/>
    <d v="2024-10-14T00:00:00"/>
    <d v="2024-10-19T00:00:00"/>
    <d v="2024-10-18T00:00:00"/>
    <n v="686"/>
    <n v="623"/>
    <s v="Delivered"/>
    <x v="379"/>
    <n v="5"/>
    <n v="-1"/>
    <n v="0"/>
    <x v="2"/>
  </r>
  <r>
    <s v="PO-1381"/>
    <x v="3"/>
    <x v="1"/>
    <s v="APAC"/>
    <d v="2024-10-05T00:00:00"/>
    <d v="2024-10-11T00:00:00"/>
    <d v="2024-10-10T00:00:00"/>
    <n v="379"/>
    <n v="352"/>
    <s v="Delivered"/>
    <x v="380"/>
    <n v="6"/>
    <n v="-1"/>
    <n v="0"/>
    <x v="2"/>
  </r>
  <r>
    <s v="PO-1382"/>
    <x v="7"/>
    <x v="3"/>
    <s v="IN-West"/>
    <d v="2024-10-01T00:00:00"/>
    <d v="2024-10-06T00:00:00"/>
    <d v="2024-10-05T00:00:00"/>
    <n v="367"/>
    <n v="347"/>
    <s v="Delivered"/>
    <x v="381"/>
    <n v="5"/>
    <n v="-1"/>
    <n v="0"/>
    <x v="2"/>
  </r>
  <r>
    <s v="PO-1383"/>
    <x v="1"/>
    <x v="0"/>
    <s v="APAC"/>
    <d v="2024-10-16T00:00:00"/>
    <d v="2024-11-03T00:00:00"/>
    <d v="2024-11-01T00:00:00"/>
    <n v="959"/>
    <n v="934"/>
    <s v="Delivered"/>
    <x v="382"/>
    <n v="18"/>
    <n v="-2"/>
    <n v="1"/>
    <x v="0"/>
  </r>
  <r>
    <s v="PO-1384"/>
    <x v="4"/>
    <x v="3"/>
    <s v="APAC"/>
    <d v="2024-10-02T00:00:00"/>
    <d v="2024-10-07T00:00:00"/>
    <d v="2024-10-06T00:00:00"/>
    <n v="663"/>
    <n v="652"/>
    <s v="Delivered"/>
    <x v="383"/>
    <n v="5"/>
    <n v="-1"/>
    <n v="1"/>
    <x v="2"/>
  </r>
  <r>
    <s v="PO-1385"/>
    <x v="0"/>
    <x v="3"/>
    <s v="IN-West"/>
    <d v="2024-10-03T00:00:00"/>
    <d v="2024-10-08T00:00:00"/>
    <d v="2024-10-12T00:00:00"/>
    <n v="1749"/>
    <n v="1591"/>
    <s v="Delivered"/>
    <x v="384"/>
    <n v="5"/>
    <n v="4"/>
    <n v="0"/>
    <x v="0"/>
  </r>
  <r>
    <s v="PO-1386"/>
    <x v="0"/>
    <x v="4"/>
    <s v="APAC"/>
    <d v="2024-10-18T00:00:00"/>
    <d v="2024-11-08T00:00:00"/>
    <d v="2024-11-08T00:00:00"/>
    <n v="271"/>
    <n v="241"/>
    <s v="Delivered"/>
    <x v="385"/>
    <n v="21"/>
    <n v="0"/>
    <n v="0"/>
    <x v="0"/>
  </r>
  <r>
    <s v="PO-1387"/>
    <x v="5"/>
    <x v="2"/>
    <s v="APAC"/>
    <d v="2024-10-06T00:00:00"/>
    <d v="2024-10-13T00:00:00"/>
    <d v="2024-10-23T00:00:00"/>
    <n v="458"/>
    <n v="414"/>
    <s v="Delivered"/>
    <x v="386"/>
    <n v="7"/>
    <n v="10"/>
    <n v="0"/>
    <x v="1"/>
  </r>
  <r>
    <s v="PO-1388"/>
    <x v="1"/>
    <x v="4"/>
    <s v="IN-North"/>
    <d v="2024-10-27T00:00:00"/>
    <d v="2024-11-17T00:00:00"/>
    <d v="2024-11-15T00:00:00"/>
    <n v="378"/>
    <n v="327"/>
    <s v="Delivered"/>
    <x v="387"/>
    <n v="21"/>
    <n v="-2"/>
    <n v="0"/>
    <x v="0"/>
  </r>
  <r>
    <s v="PO-1389"/>
    <x v="3"/>
    <x v="1"/>
    <s v="IN-South"/>
    <d v="2024-10-28T00:00:00"/>
    <d v="2024-11-03T00:00:00"/>
    <d v="2024-11-01T00:00:00"/>
    <n v="1810"/>
    <n v="1755"/>
    <s v="Delivered"/>
    <x v="388"/>
    <n v="6"/>
    <n v="-2"/>
    <n v="1"/>
    <x v="2"/>
  </r>
  <r>
    <s v="PO-1390"/>
    <x v="3"/>
    <x v="2"/>
    <s v="APAC"/>
    <d v="2024-10-05T00:00:00"/>
    <d v="2024-10-12T00:00:00"/>
    <d v="2024-10-12T00:00:00"/>
    <n v="1753"/>
    <n v="1746"/>
    <s v="Delivered"/>
    <x v="389"/>
    <n v="7"/>
    <n v="0"/>
    <n v="1"/>
    <x v="2"/>
  </r>
  <r>
    <s v="PO-1391"/>
    <x v="1"/>
    <x v="2"/>
    <s v="IN-West"/>
    <d v="2024-10-26T00:00:00"/>
    <d v="2024-11-02T00:00:00"/>
    <d v="2024-11-05T00:00:00"/>
    <n v="1997"/>
    <n v="1738"/>
    <s v="Delivered"/>
    <x v="390"/>
    <n v="7"/>
    <n v="3"/>
    <n v="0"/>
    <x v="0"/>
  </r>
  <r>
    <s v="PO-1392"/>
    <x v="3"/>
    <x v="4"/>
    <s v="APAC"/>
    <d v="2024-10-02T00:00:00"/>
    <d v="2024-10-23T00:00:00"/>
    <d v="2024-10-23T00:00:00"/>
    <n v="1620"/>
    <n v="1523"/>
    <s v="Delivered"/>
    <x v="391"/>
    <n v="21"/>
    <n v="0"/>
    <n v="0"/>
    <x v="2"/>
  </r>
  <r>
    <s v="PO-1393"/>
    <x v="3"/>
    <x v="0"/>
    <s v="IN-North"/>
    <d v="2024-10-02T00:00:00"/>
    <d v="2024-10-20T00:00:00"/>
    <d v="2024-10-19T00:00:00"/>
    <n v="836"/>
    <n v="775"/>
    <s v="Delivered"/>
    <x v="392"/>
    <n v="18"/>
    <n v="-1"/>
    <n v="0"/>
    <x v="2"/>
  </r>
  <r>
    <s v="PO-1394"/>
    <x v="7"/>
    <x v="2"/>
    <s v="IN-North"/>
    <d v="2024-10-05T00:00:00"/>
    <d v="2024-10-12T00:00:00"/>
    <d v="2024-10-26T00:00:00"/>
    <n v="1785"/>
    <n v="1753"/>
    <s v="Delivered"/>
    <x v="393"/>
    <n v="7"/>
    <n v="14"/>
    <n v="0"/>
    <x v="2"/>
  </r>
  <r>
    <s v="PO-1395"/>
    <x v="6"/>
    <x v="4"/>
    <s v="IN-West"/>
    <d v="2024-10-07T00:00:00"/>
    <d v="2024-10-28T00:00:00"/>
    <d v="2024-10-27T00:00:00"/>
    <n v="1755"/>
    <n v="1670"/>
    <s v="Delivered"/>
    <x v="394"/>
    <n v="21"/>
    <n v="-1"/>
    <n v="1"/>
    <x v="1"/>
  </r>
  <r>
    <s v="PO-1396"/>
    <x v="4"/>
    <x v="2"/>
    <s v="IN-North"/>
    <d v="2024-10-03T00:00:00"/>
    <d v="2024-10-10T00:00:00"/>
    <d v="2024-10-14T00:00:00"/>
    <n v="477"/>
    <n v="466"/>
    <s v="Delivered"/>
    <x v="395"/>
    <n v="7"/>
    <n v="4"/>
    <n v="0"/>
    <x v="2"/>
  </r>
  <r>
    <s v="PO-1397"/>
    <x v="0"/>
    <x v="3"/>
    <s v="IN-North"/>
    <d v="2024-10-27T00:00:00"/>
    <d v="2024-11-01T00:00:00"/>
    <d v="2024-11-03T00:00:00"/>
    <n v="267"/>
    <n v="235"/>
    <s v="Delivered"/>
    <x v="396"/>
    <n v="5"/>
    <n v="2"/>
    <n v="0"/>
    <x v="0"/>
  </r>
  <r>
    <s v="PO-1398"/>
    <x v="4"/>
    <x v="3"/>
    <s v="IN-South"/>
    <d v="2024-10-12T00:00:00"/>
    <d v="2024-10-17T00:00:00"/>
    <d v="2024-10-17T00:00:00"/>
    <n v="453"/>
    <n v="438"/>
    <s v="Delivered"/>
    <x v="397"/>
    <n v="5"/>
    <n v="0"/>
    <n v="1"/>
    <x v="2"/>
  </r>
  <r>
    <s v="PO-1399"/>
    <x v="2"/>
    <x v="0"/>
    <s v="APAC"/>
    <d v="2024-10-20T00:00:00"/>
    <d v="2024-11-07T00:00:00"/>
    <d v="2024-11-07T00:00:00"/>
    <n v="916"/>
    <n v="855"/>
    <s v="Delivered"/>
    <x v="398"/>
    <n v="18"/>
    <n v="0"/>
    <n v="0"/>
    <x v="1"/>
  </r>
  <r>
    <s v="PO-1400"/>
    <x v="6"/>
    <x v="2"/>
    <s v="IN-South"/>
    <d v="2024-10-01T00:00:00"/>
    <d v="2024-10-08T00:00:00"/>
    <d v="2024-10-08T00:00:00"/>
    <n v="1797"/>
    <n v="1790"/>
    <s v="Delivered"/>
    <x v="399"/>
    <n v="7"/>
    <n v="0"/>
    <n v="1"/>
    <x v="1"/>
  </r>
  <r>
    <s v="PO-1401"/>
    <x v="2"/>
    <x v="3"/>
    <s v="IN-North"/>
    <d v="2024-10-09T00:00:00"/>
    <d v="2024-10-14T00:00:00"/>
    <d v="2024-10-14T00:00:00"/>
    <n v="218"/>
    <n v="206"/>
    <s v="Delivered"/>
    <x v="400"/>
    <n v="5"/>
    <n v="0"/>
    <n v="0"/>
    <x v="1"/>
  </r>
  <r>
    <s v="PO-1402"/>
    <x v="5"/>
    <x v="3"/>
    <s v="IN-West"/>
    <d v="2024-10-08T00:00:00"/>
    <d v="2024-10-13T00:00:00"/>
    <d v="2024-10-12T00:00:00"/>
    <n v="1659"/>
    <n v="1653"/>
    <s v="Delivered"/>
    <x v="401"/>
    <n v="5"/>
    <n v="-1"/>
    <n v="1"/>
    <x v="1"/>
  </r>
  <r>
    <s v="PO-1403"/>
    <x v="6"/>
    <x v="4"/>
    <s v="APAC"/>
    <d v="2024-10-28T00:00:00"/>
    <d v="2024-11-18T00:00:00"/>
    <d v="2024-11-18T00:00:00"/>
    <n v="1266"/>
    <n v="1243"/>
    <s v="Delivered"/>
    <x v="402"/>
    <n v="21"/>
    <n v="0"/>
    <n v="1"/>
    <x v="1"/>
  </r>
  <r>
    <s v="PO-1404"/>
    <x v="3"/>
    <x v="1"/>
    <s v="IN-West"/>
    <d v="2024-10-01T00:00:00"/>
    <d v="2024-10-07T00:00:00"/>
    <d v="2024-10-07T00:00:00"/>
    <n v="1447"/>
    <n v="1343"/>
    <s v="Delivered"/>
    <x v="403"/>
    <n v="6"/>
    <n v="0"/>
    <n v="0"/>
    <x v="2"/>
  </r>
  <r>
    <s v="PO-1405"/>
    <x v="1"/>
    <x v="4"/>
    <s v="IN-West"/>
    <d v="2024-10-11T00:00:00"/>
    <d v="2024-11-01T00:00:00"/>
    <d v="2024-11-01T00:00:00"/>
    <n v="1534"/>
    <n v="1297"/>
    <s v="Delivered"/>
    <x v="404"/>
    <n v="21"/>
    <n v="0"/>
    <n v="0"/>
    <x v="0"/>
  </r>
  <r>
    <s v="PO-1406"/>
    <x v="5"/>
    <x v="1"/>
    <s v="IN-North"/>
    <d v="2024-10-02T00:00:00"/>
    <d v="2024-10-08T00:00:00"/>
    <d v="2024-10-08T00:00:00"/>
    <n v="486"/>
    <n v="472"/>
    <s v="Delivered"/>
    <x v="405"/>
    <n v="6"/>
    <n v="0"/>
    <n v="1"/>
    <x v="1"/>
  </r>
  <r>
    <s v="PO-1407"/>
    <x v="7"/>
    <x v="0"/>
    <s v="IN-South"/>
    <d v="2024-10-14T00:00:00"/>
    <d v="2024-11-01T00:00:00"/>
    <d v="2024-11-01T00:00:00"/>
    <n v="1871"/>
    <n v="1719"/>
    <s v="Delivered"/>
    <x v="406"/>
    <n v="18"/>
    <n v="0"/>
    <n v="0"/>
    <x v="2"/>
  </r>
  <r>
    <s v="PO-1408"/>
    <x v="2"/>
    <x v="1"/>
    <s v="APAC"/>
    <d v="2024-10-22T00:00:00"/>
    <d v="2024-10-28T00:00:00"/>
    <d v="2024-10-26T00:00:00"/>
    <n v="1921"/>
    <n v="1855"/>
    <s v="Delivered"/>
    <x v="407"/>
    <n v="6"/>
    <n v="-2"/>
    <n v="1"/>
    <x v="1"/>
  </r>
  <r>
    <s v="PO-1409"/>
    <x v="5"/>
    <x v="0"/>
    <s v="IN-West"/>
    <d v="2024-10-16T00:00:00"/>
    <d v="2024-11-03T00:00:00"/>
    <d v="2024-11-01T00:00:00"/>
    <n v="1592"/>
    <n v="1576"/>
    <s v="Delivered"/>
    <x v="408"/>
    <n v="18"/>
    <n v="-2"/>
    <n v="1"/>
    <x v="1"/>
  </r>
  <r>
    <s v="PO-1410"/>
    <x v="1"/>
    <x v="3"/>
    <s v="IN-South"/>
    <d v="2024-10-08T00:00:00"/>
    <d v="2024-10-13T00:00:00"/>
    <d v="2024-10-12T00:00:00"/>
    <n v="961"/>
    <n v="804"/>
    <s v="Delivered"/>
    <x v="409"/>
    <n v="5"/>
    <n v="-1"/>
    <n v="0"/>
    <x v="0"/>
  </r>
  <r>
    <s v="PO-1411"/>
    <x v="6"/>
    <x v="4"/>
    <s v="IN-West"/>
    <d v="2024-10-16T00:00:00"/>
    <d v="2024-11-06T00:00:00"/>
    <d v="2024-11-04T00:00:00"/>
    <n v="1976"/>
    <n v="1912"/>
    <s v="Delivered"/>
    <x v="410"/>
    <n v="21"/>
    <n v="-2"/>
    <n v="1"/>
    <x v="1"/>
  </r>
  <r>
    <s v="PO-1412"/>
    <x v="6"/>
    <x v="4"/>
    <s v="IN-West"/>
    <d v="2024-10-28T00:00:00"/>
    <d v="2024-11-18T00:00:00"/>
    <d v="2024-11-18T00:00:00"/>
    <n v="1137"/>
    <n v="1039"/>
    <s v="Delivered"/>
    <x v="411"/>
    <n v="21"/>
    <n v="0"/>
    <n v="0"/>
    <x v="1"/>
  </r>
  <r>
    <s v="PO-1413"/>
    <x v="5"/>
    <x v="2"/>
    <s v="APAC"/>
    <d v="2024-10-11T00:00:00"/>
    <d v="2024-10-18T00:00:00"/>
    <d v="2024-10-16T00:00:00"/>
    <n v="209"/>
    <n v="197"/>
    <s v="Delivered"/>
    <x v="412"/>
    <n v="7"/>
    <n v="-2"/>
    <n v="0"/>
    <x v="1"/>
  </r>
  <r>
    <s v="PO-1414"/>
    <x v="2"/>
    <x v="3"/>
    <s v="IN-North"/>
    <d v="2024-10-16T00:00:00"/>
    <d v="2024-10-21T00:00:00"/>
    <d v="2024-10-20T00:00:00"/>
    <n v="1497"/>
    <n v="1411"/>
    <s v="Delivered"/>
    <x v="413"/>
    <n v="5"/>
    <n v="-1"/>
    <n v="0"/>
    <x v="1"/>
  </r>
  <r>
    <s v="PO-1415"/>
    <x v="3"/>
    <x v="4"/>
    <s v="APAC"/>
    <d v="2024-10-01T00:00:00"/>
    <d v="2024-10-22T00:00:00"/>
    <d v="2024-10-21T00:00:00"/>
    <n v="1750"/>
    <n v="1720"/>
    <s v="Delivered"/>
    <x v="414"/>
    <n v="21"/>
    <n v="-1"/>
    <n v="1"/>
    <x v="2"/>
  </r>
  <r>
    <s v="PO-1416"/>
    <x v="2"/>
    <x v="2"/>
    <s v="IN-West"/>
    <d v="2024-10-21T00:00:00"/>
    <d v="2024-10-28T00:00:00"/>
    <d v="2024-10-27T00:00:00"/>
    <n v="839"/>
    <n v="765"/>
    <s v="Delivered"/>
    <x v="415"/>
    <n v="7"/>
    <n v="-1"/>
    <n v="0"/>
    <x v="1"/>
  </r>
  <r>
    <s v="PO-1417"/>
    <x v="3"/>
    <x v="1"/>
    <s v="IN-South"/>
    <d v="2024-10-06T00:00:00"/>
    <d v="2024-10-12T00:00:00"/>
    <d v="2024-10-15T00:00:00"/>
    <n v="795"/>
    <n v="751"/>
    <s v="Delivered"/>
    <x v="416"/>
    <n v="6"/>
    <n v="3"/>
    <n v="0"/>
    <x v="2"/>
  </r>
  <r>
    <s v="PO-1418"/>
    <x v="4"/>
    <x v="4"/>
    <s v="IN-North"/>
    <d v="2024-10-11T00:00:00"/>
    <d v="2024-11-01T00:00:00"/>
    <d v="2024-10-31T00:00:00"/>
    <n v="239"/>
    <n v="220"/>
    <s v="Delivered"/>
    <x v="417"/>
    <n v="21"/>
    <n v="-1"/>
    <n v="0"/>
    <x v="2"/>
  </r>
  <r>
    <s v="PO-1419"/>
    <x v="5"/>
    <x v="3"/>
    <s v="IN-West"/>
    <d v="2024-10-19T00:00:00"/>
    <d v="2024-10-24T00:00:00"/>
    <d v="2024-10-24T00:00:00"/>
    <n v="1532"/>
    <n v="1500"/>
    <s v="Delivered"/>
    <x v="418"/>
    <n v="5"/>
    <n v="0"/>
    <n v="1"/>
    <x v="1"/>
  </r>
  <r>
    <s v="PO-1420"/>
    <x v="3"/>
    <x v="0"/>
    <s v="IN-West"/>
    <d v="2024-10-20T00:00:00"/>
    <d v="2024-11-07T00:00:00"/>
    <d v="2024-11-07T00:00:00"/>
    <n v="437"/>
    <n v="411"/>
    <s v="Delivered"/>
    <x v="419"/>
    <n v="18"/>
    <n v="0"/>
    <n v="0"/>
    <x v="2"/>
  </r>
  <r>
    <s v="PO-1421"/>
    <x v="3"/>
    <x v="2"/>
    <s v="IN-South"/>
    <d v="2024-10-16T00:00:00"/>
    <d v="2024-10-23T00:00:00"/>
    <d v="2024-10-23T00:00:00"/>
    <n v="1490"/>
    <n v="1342"/>
    <s v="Delivered"/>
    <x v="420"/>
    <n v="7"/>
    <n v="0"/>
    <n v="0"/>
    <x v="2"/>
  </r>
  <r>
    <s v="PO-1422"/>
    <x v="1"/>
    <x v="1"/>
    <s v="IN-South"/>
    <d v="2024-11-20T00:00:00"/>
    <d v="2024-11-26T00:00:00"/>
    <d v="2024-11-24T00:00:00"/>
    <n v="1247"/>
    <n v="1169"/>
    <s v="Delivered"/>
    <x v="421"/>
    <n v="6"/>
    <n v="-2"/>
    <n v="0"/>
    <x v="0"/>
  </r>
  <r>
    <s v="PO-1423"/>
    <x v="1"/>
    <x v="0"/>
    <s v="IN-West"/>
    <d v="2024-11-26T00:00:00"/>
    <d v="2024-12-14T00:00:00"/>
    <d v="2024-12-14T00:00:00"/>
    <n v="609"/>
    <n v="579"/>
    <s v="Delivered"/>
    <x v="422"/>
    <n v="18"/>
    <n v="0"/>
    <n v="1"/>
    <x v="0"/>
  </r>
  <r>
    <s v="PO-1424"/>
    <x v="2"/>
    <x v="0"/>
    <s v="APAC"/>
    <d v="2024-11-10T00:00:00"/>
    <d v="2024-11-28T00:00:00"/>
    <d v="2024-11-27T00:00:00"/>
    <n v="625"/>
    <n v="605"/>
    <s v="Delivered"/>
    <x v="423"/>
    <n v="18"/>
    <n v="-1"/>
    <n v="1"/>
    <x v="1"/>
  </r>
  <r>
    <s v="PO-1425"/>
    <x v="7"/>
    <x v="0"/>
    <s v="IN-North"/>
    <d v="2024-11-01T00:00:00"/>
    <d v="2024-11-19T00:00:00"/>
    <d v="2024-11-17T00:00:00"/>
    <n v="1910"/>
    <n v="1828"/>
    <s v="Delivered"/>
    <x v="424"/>
    <n v="18"/>
    <n v="-2"/>
    <n v="1"/>
    <x v="2"/>
  </r>
  <r>
    <s v="PO-1426"/>
    <x v="7"/>
    <x v="3"/>
    <s v="IN-West"/>
    <d v="2024-11-25T00:00:00"/>
    <d v="2024-11-30T00:00:00"/>
    <d v="2024-12-01T00:00:00"/>
    <n v="724"/>
    <n v="698"/>
    <s v="Delivered"/>
    <x v="425"/>
    <n v="5"/>
    <n v="1"/>
    <n v="0"/>
    <x v="2"/>
  </r>
  <r>
    <s v="PO-1427"/>
    <x v="7"/>
    <x v="0"/>
    <s v="IN-South"/>
    <d v="2024-11-15T00:00:00"/>
    <d v="2024-12-03T00:00:00"/>
    <d v="2024-12-01T00:00:00"/>
    <n v="1990"/>
    <n v="1798"/>
    <s v="Delivered"/>
    <x v="426"/>
    <n v="18"/>
    <n v="-2"/>
    <n v="0"/>
    <x v="2"/>
  </r>
  <r>
    <s v="PO-1428"/>
    <x v="6"/>
    <x v="0"/>
    <s v="IN-South"/>
    <d v="2024-11-14T00:00:00"/>
    <d v="2024-12-02T00:00:00"/>
    <d v="2024-11-30T00:00:00"/>
    <n v="219"/>
    <n v="215"/>
    <s v="Delivered"/>
    <x v="427"/>
    <n v="18"/>
    <n v="-2"/>
    <n v="1"/>
    <x v="1"/>
  </r>
  <r>
    <s v="PO-1429"/>
    <x v="5"/>
    <x v="0"/>
    <s v="IN-South"/>
    <d v="2024-11-15T00:00:00"/>
    <d v="2024-12-03T00:00:00"/>
    <d v="2024-12-04T00:00:00"/>
    <n v="963"/>
    <n v="945"/>
    <s v="Delivered"/>
    <x v="428"/>
    <n v="18"/>
    <n v="1"/>
    <n v="0"/>
    <x v="1"/>
  </r>
  <r>
    <s v="PO-1430"/>
    <x v="5"/>
    <x v="2"/>
    <s v="APAC"/>
    <d v="2024-11-13T00:00:00"/>
    <d v="2024-11-20T00:00:00"/>
    <d v="2024-11-19T00:00:00"/>
    <n v="1612"/>
    <n v="1587"/>
    <s v="Delivered"/>
    <x v="429"/>
    <n v="7"/>
    <n v="-1"/>
    <n v="1"/>
    <x v="1"/>
  </r>
  <r>
    <s v="PO-1431"/>
    <x v="3"/>
    <x v="3"/>
    <s v="IN-West"/>
    <d v="2024-11-05T00:00:00"/>
    <d v="2024-11-10T00:00:00"/>
    <d v="2024-11-19T00:00:00"/>
    <n v="412"/>
    <n v="387"/>
    <s v="Delivered"/>
    <x v="430"/>
    <n v="5"/>
    <n v="9"/>
    <n v="0"/>
    <x v="2"/>
  </r>
  <r>
    <s v="PO-1432"/>
    <x v="7"/>
    <x v="1"/>
    <s v="APAC"/>
    <d v="2024-11-06T00:00:00"/>
    <d v="2024-11-12T00:00:00"/>
    <d v="2024-11-17T00:00:00"/>
    <n v="259"/>
    <n v="255"/>
    <s v="Delivered"/>
    <x v="431"/>
    <n v="6"/>
    <n v="5"/>
    <n v="0"/>
    <x v="2"/>
  </r>
  <r>
    <s v="PO-1433"/>
    <x v="5"/>
    <x v="4"/>
    <s v="APAC"/>
    <d v="2024-11-04T00:00:00"/>
    <d v="2024-11-25T00:00:00"/>
    <d v="2024-11-23T00:00:00"/>
    <n v="735"/>
    <n v="709"/>
    <s v="Delivered"/>
    <x v="432"/>
    <n v="21"/>
    <n v="-2"/>
    <n v="1"/>
    <x v="1"/>
  </r>
  <r>
    <s v="PO-1434"/>
    <x v="0"/>
    <x v="1"/>
    <s v="IN-North"/>
    <d v="2024-11-22T00:00:00"/>
    <d v="2024-11-28T00:00:00"/>
    <d v="2024-11-28T00:00:00"/>
    <n v="1634"/>
    <n v="1496"/>
    <s v="Delivered"/>
    <x v="433"/>
    <n v="6"/>
    <n v="0"/>
    <n v="0"/>
    <x v="0"/>
  </r>
  <r>
    <s v="PO-1435"/>
    <x v="3"/>
    <x v="3"/>
    <s v="APAC"/>
    <d v="2024-11-12T00:00:00"/>
    <d v="2024-11-17T00:00:00"/>
    <d v="2024-11-17T00:00:00"/>
    <n v="1455"/>
    <n v="1317"/>
    <s v="Delivered"/>
    <x v="434"/>
    <n v="5"/>
    <n v="0"/>
    <n v="0"/>
    <x v="2"/>
  </r>
  <r>
    <s v="PO-1436"/>
    <x v="5"/>
    <x v="1"/>
    <s v="APAC"/>
    <d v="2024-11-28T00:00:00"/>
    <d v="2024-12-04T00:00:00"/>
    <d v="2024-12-05T00:00:00"/>
    <n v="1738"/>
    <n v="1649"/>
    <s v="Delivered"/>
    <x v="435"/>
    <n v="6"/>
    <n v="1"/>
    <n v="0"/>
    <x v="1"/>
  </r>
  <r>
    <s v="PO-1437"/>
    <x v="2"/>
    <x v="0"/>
    <s v="IN-South"/>
    <d v="2024-11-02T00:00:00"/>
    <d v="2024-11-20T00:00:00"/>
    <d v="2024-11-19T00:00:00"/>
    <n v="1025"/>
    <n v="1006"/>
    <s v="Delivered"/>
    <x v="436"/>
    <n v="18"/>
    <n v="-1"/>
    <n v="1"/>
    <x v="1"/>
  </r>
  <r>
    <s v="PO-1438"/>
    <x v="1"/>
    <x v="4"/>
    <s v="APAC"/>
    <d v="2024-11-26T00:00:00"/>
    <d v="2024-12-17T00:00:00"/>
    <d v="2024-12-16T00:00:00"/>
    <n v="1115"/>
    <n v="947"/>
    <s v="Delivered"/>
    <x v="437"/>
    <n v="21"/>
    <n v="-1"/>
    <n v="0"/>
    <x v="0"/>
  </r>
  <r>
    <s v="PO-1439"/>
    <x v="7"/>
    <x v="2"/>
    <s v="IN-West"/>
    <d v="2024-11-13T00:00:00"/>
    <d v="2024-11-20T00:00:00"/>
    <d v="2024-11-20T00:00:00"/>
    <n v="200"/>
    <n v="196"/>
    <s v="Delivered"/>
    <x v="438"/>
    <n v="7"/>
    <n v="0"/>
    <n v="1"/>
    <x v="2"/>
  </r>
  <r>
    <s v="PO-1440"/>
    <x v="6"/>
    <x v="1"/>
    <s v="IN-North"/>
    <d v="2024-11-21T00:00:00"/>
    <d v="2024-11-27T00:00:00"/>
    <d v="2024-12-09T00:00:00"/>
    <n v="1890"/>
    <n v="1711"/>
    <s v="Delivered"/>
    <x v="439"/>
    <n v="6"/>
    <n v="12"/>
    <n v="0"/>
    <x v="1"/>
  </r>
  <r>
    <s v="PO-1441"/>
    <x v="2"/>
    <x v="4"/>
    <s v="IN-South"/>
    <d v="2024-11-18T00:00:00"/>
    <d v="2024-12-09T00:00:00"/>
    <d v="2024-12-12T00:00:00"/>
    <n v="1666"/>
    <n v="1574"/>
    <s v="Delivered"/>
    <x v="440"/>
    <n v="21"/>
    <n v="3"/>
    <n v="0"/>
    <x v="1"/>
  </r>
  <r>
    <s v="PO-1442"/>
    <x v="1"/>
    <x v="3"/>
    <s v="IN-West"/>
    <d v="2024-11-11T00:00:00"/>
    <d v="2024-11-16T00:00:00"/>
    <d v="2024-11-19T00:00:00"/>
    <n v="1321"/>
    <n v="1182"/>
    <s v="Delivered"/>
    <x v="441"/>
    <n v="5"/>
    <n v="3"/>
    <n v="0"/>
    <x v="0"/>
  </r>
  <r>
    <s v="PO-1443"/>
    <x v="1"/>
    <x v="2"/>
    <s v="IN-North"/>
    <d v="2024-11-16T00:00:00"/>
    <d v="2024-11-23T00:00:00"/>
    <d v="2024-11-29T00:00:00"/>
    <n v="1677"/>
    <n v="1459"/>
    <s v="Delivered"/>
    <x v="442"/>
    <n v="7"/>
    <n v="6"/>
    <n v="0"/>
    <x v="0"/>
  </r>
  <r>
    <s v="PO-1444"/>
    <x v="6"/>
    <x v="1"/>
    <s v="IN-North"/>
    <d v="2024-11-07T00:00:00"/>
    <d v="2024-11-13T00:00:00"/>
    <d v="2024-11-17T00:00:00"/>
    <n v="641"/>
    <n v="606"/>
    <s v="Delivered"/>
    <x v="443"/>
    <n v="6"/>
    <n v="4"/>
    <n v="0"/>
    <x v="1"/>
  </r>
  <r>
    <s v="PO-1445"/>
    <x v="2"/>
    <x v="0"/>
    <s v="IN-West"/>
    <d v="2024-11-25T00:00:00"/>
    <d v="2024-12-13T00:00:00"/>
    <d v="2024-12-13T00:00:00"/>
    <n v="1915"/>
    <n v="1852"/>
    <s v="Delivered"/>
    <x v="444"/>
    <n v="18"/>
    <n v="0"/>
    <n v="1"/>
    <x v="1"/>
  </r>
  <r>
    <s v="PO-1446"/>
    <x v="1"/>
    <x v="4"/>
    <s v="APAC"/>
    <d v="2024-11-22T00:00:00"/>
    <d v="2024-12-13T00:00:00"/>
    <d v="2024-12-20T00:00:00"/>
    <n v="1286"/>
    <n v="1211"/>
    <s v="Delivered"/>
    <x v="445"/>
    <n v="21"/>
    <n v="7"/>
    <n v="0"/>
    <x v="0"/>
  </r>
  <r>
    <s v="PO-1447"/>
    <x v="3"/>
    <x v="1"/>
    <s v="APAC"/>
    <d v="2024-11-17T00:00:00"/>
    <d v="2024-11-23T00:00:00"/>
    <d v="2024-11-21T00:00:00"/>
    <n v="1696"/>
    <n v="1664"/>
    <s v="Delivered"/>
    <x v="446"/>
    <n v="6"/>
    <n v="-2"/>
    <n v="1"/>
    <x v="2"/>
  </r>
  <r>
    <s v="PO-1448"/>
    <x v="1"/>
    <x v="4"/>
    <s v="IN-South"/>
    <d v="2024-11-17T00:00:00"/>
    <d v="2024-12-08T00:00:00"/>
    <d v="2024-12-08T00:00:00"/>
    <n v="1618"/>
    <n v="1533"/>
    <s v="Delivered"/>
    <x v="447"/>
    <n v="21"/>
    <n v="0"/>
    <n v="0"/>
    <x v="0"/>
  </r>
  <r>
    <s v="PO-1449"/>
    <x v="6"/>
    <x v="4"/>
    <s v="IN-South"/>
    <d v="2024-11-10T00:00:00"/>
    <d v="2024-12-01T00:00:00"/>
    <d v="2024-12-03T00:00:00"/>
    <n v="1045"/>
    <n v="1003"/>
    <s v="Delivered"/>
    <x v="448"/>
    <n v="21"/>
    <n v="2"/>
    <n v="0"/>
    <x v="1"/>
  </r>
  <r>
    <s v="PO-1450"/>
    <x v="6"/>
    <x v="1"/>
    <s v="IN-South"/>
    <d v="2024-11-23T00:00:00"/>
    <d v="2024-11-29T00:00:00"/>
    <d v="2024-11-29T00:00:00"/>
    <n v="1663"/>
    <n v="1545"/>
    <s v="Delivered"/>
    <x v="449"/>
    <n v="6"/>
    <n v="0"/>
    <n v="0"/>
    <x v="1"/>
  </r>
  <r>
    <s v="PO-1451"/>
    <x v="4"/>
    <x v="3"/>
    <s v="IN-North"/>
    <d v="2024-11-17T00:00:00"/>
    <d v="2024-11-22T00:00:00"/>
    <d v="2024-11-25T00:00:00"/>
    <n v="1351"/>
    <n v="1280"/>
    <s v="Delivered"/>
    <x v="450"/>
    <n v="5"/>
    <n v="3"/>
    <n v="0"/>
    <x v="2"/>
  </r>
  <r>
    <s v="PO-1452"/>
    <x v="3"/>
    <x v="1"/>
    <s v="IN-South"/>
    <d v="2024-11-28T00:00:00"/>
    <d v="2024-12-04T00:00:00"/>
    <d v="2024-12-09T00:00:00"/>
    <n v="418"/>
    <n v="377"/>
    <s v="Delivered"/>
    <x v="451"/>
    <n v="6"/>
    <n v="5"/>
    <n v="0"/>
    <x v="2"/>
  </r>
  <r>
    <s v="PO-1453"/>
    <x v="5"/>
    <x v="2"/>
    <s v="IN-West"/>
    <d v="2024-11-07T00:00:00"/>
    <d v="2024-11-14T00:00:00"/>
    <d v="2024-11-16T00:00:00"/>
    <n v="786"/>
    <n v="761"/>
    <s v="Delivered"/>
    <x v="452"/>
    <n v="7"/>
    <n v="2"/>
    <n v="0"/>
    <x v="1"/>
  </r>
  <r>
    <s v="PO-1454"/>
    <x v="5"/>
    <x v="2"/>
    <s v="IN-South"/>
    <d v="2024-11-07T00:00:00"/>
    <d v="2024-11-14T00:00:00"/>
    <d v="2024-11-13T00:00:00"/>
    <n v="409"/>
    <n v="393"/>
    <s v="Delivered"/>
    <x v="453"/>
    <n v="7"/>
    <n v="-1"/>
    <n v="1"/>
    <x v="1"/>
  </r>
  <r>
    <s v="PO-1455"/>
    <x v="2"/>
    <x v="1"/>
    <s v="APAC"/>
    <d v="2024-11-08T00:00:00"/>
    <d v="2024-11-14T00:00:00"/>
    <d v="2024-11-12T00:00:00"/>
    <n v="981"/>
    <n v="920"/>
    <s v="Delivered"/>
    <x v="454"/>
    <n v="6"/>
    <n v="-2"/>
    <n v="0"/>
    <x v="1"/>
  </r>
  <r>
    <s v="PO-1456"/>
    <x v="4"/>
    <x v="1"/>
    <s v="IN-West"/>
    <d v="2024-11-01T00:00:00"/>
    <d v="2024-11-07T00:00:00"/>
    <d v="2024-11-06T00:00:00"/>
    <n v="1899"/>
    <n v="1751"/>
    <s v="Delivered"/>
    <x v="455"/>
    <n v="6"/>
    <n v="-1"/>
    <n v="0"/>
    <x v="2"/>
  </r>
  <r>
    <s v="PO-1457"/>
    <x v="4"/>
    <x v="1"/>
    <s v="IN-North"/>
    <d v="2024-11-25T00:00:00"/>
    <d v="2024-12-01T00:00:00"/>
    <d v="2024-11-29T00:00:00"/>
    <n v="1598"/>
    <n v="1450"/>
    <s v="Delivered"/>
    <x v="456"/>
    <n v="6"/>
    <n v="-2"/>
    <n v="0"/>
    <x v="2"/>
  </r>
  <r>
    <s v="PO-1458"/>
    <x v="5"/>
    <x v="1"/>
    <s v="IN-West"/>
    <d v="2024-11-13T00:00:00"/>
    <d v="2024-11-19T00:00:00"/>
    <d v="2024-11-19T00:00:00"/>
    <n v="741"/>
    <n v="676"/>
    <s v="Delivered"/>
    <x v="150"/>
    <n v="6"/>
    <n v="0"/>
    <n v="0"/>
    <x v="1"/>
  </r>
  <r>
    <s v="PO-1459"/>
    <x v="6"/>
    <x v="2"/>
    <s v="IN-South"/>
    <d v="2024-11-15T00:00:00"/>
    <d v="2024-11-22T00:00:00"/>
    <d v="2024-11-21T00:00:00"/>
    <n v="1422"/>
    <n v="1287"/>
    <s v="Delivered"/>
    <x v="457"/>
    <n v="7"/>
    <n v="-1"/>
    <n v="0"/>
    <x v="1"/>
  </r>
  <r>
    <s v="PO-1460"/>
    <x v="6"/>
    <x v="4"/>
    <s v="IN-South"/>
    <d v="2024-11-03T00:00:00"/>
    <d v="2024-11-24T00:00:00"/>
    <d v="2024-11-22T00:00:00"/>
    <n v="1266"/>
    <n v="1148"/>
    <s v="Delivered"/>
    <x v="458"/>
    <n v="21"/>
    <n v="-2"/>
    <n v="0"/>
    <x v="1"/>
  </r>
  <r>
    <s v="PO-1461"/>
    <x v="5"/>
    <x v="4"/>
    <s v="APAC"/>
    <d v="2024-11-03T00:00:00"/>
    <d v="2024-11-24T00:00:00"/>
    <d v="2024-11-22T00:00:00"/>
    <n v="1558"/>
    <n v="1453"/>
    <s v="Delivered"/>
    <x v="459"/>
    <n v="21"/>
    <n v="-2"/>
    <n v="0"/>
    <x v="1"/>
  </r>
  <r>
    <s v="PO-1462"/>
    <x v="4"/>
    <x v="0"/>
    <s v="IN-North"/>
    <d v="2024-11-25T00:00:00"/>
    <d v="2024-12-13T00:00:00"/>
    <d v="2024-12-20T00:00:00"/>
    <n v="434"/>
    <n v="419"/>
    <s v="Delivered"/>
    <x v="460"/>
    <n v="18"/>
    <n v="7"/>
    <n v="0"/>
    <x v="2"/>
  </r>
  <r>
    <s v="PO-1463"/>
    <x v="7"/>
    <x v="3"/>
    <s v="IN-North"/>
    <d v="2024-11-02T00:00:00"/>
    <d v="2024-11-07T00:00:00"/>
    <d v="2024-11-05T00:00:00"/>
    <n v="990"/>
    <n v="916"/>
    <s v="Delivered"/>
    <x v="461"/>
    <n v="5"/>
    <n v="-2"/>
    <n v="0"/>
    <x v="2"/>
  </r>
  <r>
    <s v="PO-1464"/>
    <x v="6"/>
    <x v="2"/>
    <s v="IN-South"/>
    <d v="2024-11-17T00:00:00"/>
    <d v="2024-11-24T00:00:00"/>
    <d v="2024-11-23T00:00:00"/>
    <n v="1534"/>
    <n v="1410"/>
    <s v="Delivered"/>
    <x v="462"/>
    <n v="7"/>
    <n v="-1"/>
    <n v="0"/>
    <x v="1"/>
  </r>
  <r>
    <s v="PO-1465"/>
    <x v="1"/>
    <x v="2"/>
    <s v="IN-North"/>
    <d v="2024-11-25T00:00:00"/>
    <d v="2024-12-02T00:00:00"/>
    <d v="2024-11-30T00:00:00"/>
    <n v="1572"/>
    <n v="1443"/>
    <s v="Delivered"/>
    <x v="463"/>
    <n v="7"/>
    <n v="-2"/>
    <n v="0"/>
    <x v="0"/>
  </r>
  <r>
    <s v="PO-1466"/>
    <x v="2"/>
    <x v="4"/>
    <s v="IN-West"/>
    <d v="2024-11-07T00:00:00"/>
    <d v="2024-11-28T00:00:00"/>
    <d v="2024-11-26T00:00:00"/>
    <n v="1729"/>
    <n v="1674"/>
    <s v="Delivered"/>
    <x v="464"/>
    <n v="21"/>
    <n v="-2"/>
    <n v="1"/>
    <x v="1"/>
  </r>
  <r>
    <s v="PO-1467"/>
    <x v="0"/>
    <x v="4"/>
    <s v="IN-South"/>
    <d v="2024-11-02T00:00:00"/>
    <d v="2024-11-23T00:00:00"/>
    <d v="2024-11-21T00:00:00"/>
    <n v="1826"/>
    <n v="1525"/>
    <s v="Delivered"/>
    <x v="465"/>
    <n v="21"/>
    <n v="-2"/>
    <n v="0"/>
    <x v="0"/>
  </r>
  <r>
    <s v="PO-1468"/>
    <x v="1"/>
    <x v="1"/>
    <s v="IN-North"/>
    <d v="2024-11-09T00:00:00"/>
    <d v="2024-11-15T00:00:00"/>
    <d v="2024-11-15T00:00:00"/>
    <n v="1028"/>
    <n v="899"/>
    <s v="Delivered"/>
    <x v="466"/>
    <n v="6"/>
    <n v="0"/>
    <n v="0"/>
    <x v="0"/>
  </r>
  <r>
    <s v="PO-1469"/>
    <x v="0"/>
    <x v="4"/>
    <s v="IN-West"/>
    <d v="2024-11-18T00:00:00"/>
    <d v="2024-12-09T00:00:00"/>
    <d v="2024-12-09T00:00:00"/>
    <n v="329"/>
    <n v="311"/>
    <s v="Delivered"/>
    <x v="467"/>
    <n v="21"/>
    <n v="0"/>
    <n v="0"/>
    <x v="0"/>
  </r>
  <r>
    <s v="PO-1470"/>
    <x v="0"/>
    <x v="2"/>
    <s v="IN-South"/>
    <d v="2024-11-17T00:00:00"/>
    <d v="2024-11-24T00:00:00"/>
    <d v="2024-11-24T00:00:00"/>
    <n v="817"/>
    <n v="746"/>
    <s v="Delivered"/>
    <x v="468"/>
    <n v="7"/>
    <n v="0"/>
    <n v="0"/>
    <x v="0"/>
  </r>
  <r>
    <s v="PO-1471"/>
    <x v="6"/>
    <x v="4"/>
    <s v="APAC"/>
    <d v="2024-11-13T00:00:00"/>
    <d v="2024-12-04T00:00:00"/>
    <d v="2024-12-04T00:00:00"/>
    <n v="650"/>
    <n v="593"/>
    <s v="Delivered"/>
    <x v="469"/>
    <n v="21"/>
    <n v="0"/>
    <n v="0"/>
    <x v="1"/>
  </r>
  <r>
    <s v="PO-1472"/>
    <x v="3"/>
    <x v="1"/>
    <s v="IN-South"/>
    <d v="2024-11-21T00:00:00"/>
    <d v="2024-11-27T00:00:00"/>
    <d v="2024-11-27T00:00:00"/>
    <n v="1526"/>
    <n v="1430"/>
    <s v="Delivered"/>
    <x v="470"/>
    <n v="6"/>
    <n v="0"/>
    <n v="0"/>
    <x v="2"/>
  </r>
  <r>
    <s v="PO-1473"/>
    <x v="0"/>
    <x v="1"/>
    <s v="IN-North"/>
    <d v="2024-11-04T00:00:00"/>
    <d v="2024-11-10T00:00:00"/>
    <d v="2024-11-10T00:00:00"/>
    <n v="1007"/>
    <n v="904"/>
    <s v="Delivered"/>
    <x v="471"/>
    <n v="6"/>
    <n v="0"/>
    <n v="0"/>
    <x v="0"/>
  </r>
  <r>
    <s v="PO-1474"/>
    <x v="1"/>
    <x v="0"/>
    <s v="IN-North"/>
    <d v="2024-11-24T00:00:00"/>
    <d v="2024-12-12T00:00:00"/>
    <d v="2024-12-12T00:00:00"/>
    <n v="1943"/>
    <n v="1734"/>
    <s v="Delivered"/>
    <x v="472"/>
    <n v="18"/>
    <n v="0"/>
    <n v="0"/>
    <x v="0"/>
  </r>
  <r>
    <s v="PO-1475"/>
    <x v="5"/>
    <x v="3"/>
    <s v="IN-North"/>
    <d v="2024-11-20T00:00:00"/>
    <d v="2024-11-25T00:00:00"/>
    <d v="2024-11-23T00:00:00"/>
    <n v="1574"/>
    <n v="1542"/>
    <s v="Delivered"/>
    <x v="473"/>
    <n v="5"/>
    <n v="-2"/>
    <n v="1"/>
    <x v="1"/>
  </r>
  <r>
    <s v="PO-1476"/>
    <x v="0"/>
    <x v="1"/>
    <s v="APAC"/>
    <d v="2024-11-21T00:00:00"/>
    <d v="2024-11-27T00:00:00"/>
    <d v="2024-11-25T00:00:00"/>
    <n v="713"/>
    <n v="571"/>
    <s v="Delivered"/>
    <x v="474"/>
    <n v="6"/>
    <n v="-2"/>
    <n v="0"/>
    <x v="0"/>
  </r>
  <r>
    <s v="PO-1477"/>
    <x v="7"/>
    <x v="0"/>
    <s v="IN-South"/>
    <d v="2024-11-05T00:00:00"/>
    <d v="2024-11-23T00:00:00"/>
    <d v="2024-11-23T00:00:00"/>
    <n v="342"/>
    <n v="338"/>
    <s v="Delivered"/>
    <x v="475"/>
    <n v="18"/>
    <n v="0"/>
    <n v="1"/>
    <x v="2"/>
  </r>
  <r>
    <s v="PO-1478"/>
    <x v="4"/>
    <x v="4"/>
    <s v="APAC"/>
    <d v="2024-11-11T00:00:00"/>
    <d v="2024-12-02T00:00:00"/>
    <d v="2024-11-30T00:00:00"/>
    <n v="1358"/>
    <n v="1299"/>
    <s v="Delivered"/>
    <x v="476"/>
    <n v="21"/>
    <n v="-2"/>
    <n v="1"/>
    <x v="2"/>
  </r>
  <r>
    <s v="PO-1479"/>
    <x v="4"/>
    <x v="4"/>
    <s v="IN-North"/>
    <d v="2024-11-01T00:00:00"/>
    <d v="2024-11-22T00:00:00"/>
    <d v="2024-11-20T00:00:00"/>
    <n v="1658"/>
    <n v="1614"/>
    <s v="Delivered"/>
    <x v="477"/>
    <n v="21"/>
    <n v="-2"/>
    <n v="1"/>
    <x v="2"/>
  </r>
  <r>
    <s v="PO-1480"/>
    <x v="3"/>
    <x v="0"/>
    <s v="IN-South"/>
    <d v="2024-11-05T00:00:00"/>
    <d v="2024-11-23T00:00:00"/>
    <d v="2024-11-27T00:00:00"/>
    <n v="1112"/>
    <n v="1040"/>
    <s v="Delivered"/>
    <x v="478"/>
    <n v="18"/>
    <n v="4"/>
    <n v="0"/>
    <x v="2"/>
  </r>
  <r>
    <s v="PO-1481"/>
    <x v="6"/>
    <x v="4"/>
    <s v="IN-West"/>
    <d v="2024-11-06T00:00:00"/>
    <d v="2024-11-27T00:00:00"/>
    <d v="2024-11-29T00:00:00"/>
    <n v="1303"/>
    <n v="1198"/>
    <s v="Delivered"/>
    <x v="479"/>
    <n v="21"/>
    <n v="2"/>
    <n v="0"/>
    <x v="1"/>
  </r>
  <r>
    <s v="PO-1482"/>
    <x v="1"/>
    <x v="2"/>
    <s v="IN-West"/>
    <d v="2024-11-28T00:00:00"/>
    <d v="2024-12-05T00:00:00"/>
    <d v="2024-12-10T00:00:00"/>
    <n v="1029"/>
    <n v="976"/>
    <s v="Delivered"/>
    <x v="480"/>
    <n v="7"/>
    <n v="5"/>
    <n v="0"/>
    <x v="0"/>
  </r>
  <r>
    <s v="PO-1483"/>
    <x v="2"/>
    <x v="2"/>
    <s v="IN-South"/>
    <d v="2024-11-18T00:00:00"/>
    <d v="2024-11-25T00:00:00"/>
    <d v="2024-11-23T00:00:00"/>
    <n v="949"/>
    <n v="891"/>
    <s v="Delivered"/>
    <x v="481"/>
    <n v="7"/>
    <n v="-2"/>
    <n v="0"/>
    <x v="1"/>
  </r>
  <r>
    <s v="PO-1484"/>
    <x v="6"/>
    <x v="3"/>
    <s v="APAC"/>
    <d v="2024-11-17T00:00:00"/>
    <d v="2024-11-22T00:00:00"/>
    <d v="2024-11-22T00:00:00"/>
    <n v="221"/>
    <n v="213"/>
    <s v="Delivered"/>
    <x v="482"/>
    <n v="5"/>
    <n v="0"/>
    <n v="1"/>
    <x v="1"/>
  </r>
  <r>
    <s v="PO-1485"/>
    <x v="5"/>
    <x v="1"/>
    <s v="IN-North"/>
    <d v="2024-11-15T00:00:00"/>
    <d v="2024-11-21T00:00:00"/>
    <d v="2024-11-21T00:00:00"/>
    <n v="1550"/>
    <n v="1530"/>
    <s v="Delivered"/>
    <x v="483"/>
    <n v="6"/>
    <n v="0"/>
    <n v="1"/>
    <x v="1"/>
  </r>
  <r>
    <s v="PO-1486"/>
    <x v="5"/>
    <x v="4"/>
    <s v="IN-South"/>
    <d v="2024-11-02T00:00:00"/>
    <d v="2024-11-23T00:00:00"/>
    <d v="2024-11-25T00:00:00"/>
    <n v="328"/>
    <n v="303"/>
    <s v="Delivered"/>
    <x v="484"/>
    <n v="21"/>
    <n v="2"/>
    <n v="0"/>
    <x v="1"/>
  </r>
  <r>
    <s v="PO-1487"/>
    <x v="2"/>
    <x v="2"/>
    <s v="IN-North"/>
    <d v="2024-11-17T00:00:00"/>
    <d v="2024-11-24T00:00:00"/>
    <d v="2024-11-23T00:00:00"/>
    <n v="295"/>
    <n v="266"/>
    <s v="Delivered"/>
    <x v="485"/>
    <n v="7"/>
    <n v="-1"/>
    <n v="0"/>
    <x v="1"/>
  </r>
  <r>
    <s v="PO-1488"/>
    <x v="4"/>
    <x v="2"/>
    <s v="IN-South"/>
    <d v="2024-11-27T00:00:00"/>
    <d v="2024-12-04T00:00:00"/>
    <d v="2024-12-04T00:00:00"/>
    <n v="556"/>
    <n v="521"/>
    <s v="Delivered"/>
    <x v="486"/>
    <n v="7"/>
    <n v="0"/>
    <n v="0"/>
    <x v="2"/>
  </r>
  <r>
    <s v="PO-1489"/>
    <x v="3"/>
    <x v="0"/>
    <s v="IN-West"/>
    <d v="2024-11-17T00:00:00"/>
    <d v="2024-12-05T00:00:00"/>
    <d v="2024-12-03T00:00:00"/>
    <n v="1257"/>
    <n v="1182"/>
    <s v="Delivered"/>
    <x v="487"/>
    <n v="18"/>
    <n v="-2"/>
    <n v="0"/>
    <x v="2"/>
  </r>
  <r>
    <s v="PO-1490"/>
    <x v="4"/>
    <x v="4"/>
    <s v="APAC"/>
    <d v="2024-11-20T00:00:00"/>
    <d v="2024-12-11T00:00:00"/>
    <d v="2024-12-09T00:00:00"/>
    <n v="1100"/>
    <n v="1008"/>
    <s v="Delivered"/>
    <x v="488"/>
    <n v="21"/>
    <n v="-2"/>
    <n v="0"/>
    <x v="2"/>
  </r>
  <r>
    <s v="PO-1491"/>
    <x v="1"/>
    <x v="1"/>
    <s v="IN-South"/>
    <d v="2024-11-07T00:00:00"/>
    <d v="2024-11-13T00:00:00"/>
    <d v="2024-11-12T00:00:00"/>
    <n v="1432"/>
    <n v="1342"/>
    <s v="Delivered"/>
    <x v="489"/>
    <n v="6"/>
    <n v="-1"/>
    <n v="0"/>
    <x v="0"/>
  </r>
  <r>
    <s v="PO-1492"/>
    <x v="1"/>
    <x v="3"/>
    <s v="APAC"/>
    <d v="2024-11-26T00:00:00"/>
    <d v="2024-12-01T00:00:00"/>
    <d v="2024-12-05T00:00:00"/>
    <n v="1582"/>
    <n v="1400"/>
    <s v="Delivered"/>
    <x v="490"/>
    <n v="5"/>
    <n v="4"/>
    <n v="0"/>
    <x v="0"/>
  </r>
  <r>
    <s v="PO-1493"/>
    <x v="2"/>
    <x v="1"/>
    <s v="IN-North"/>
    <d v="2024-11-21T00:00:00"/>
    <d v="2024-11-27T00:00:00"/>
    <d v="2024-11-25T00:00:00"/>
    <n v="461"/>
    <n v="441"/>
    <s v="Delivered"/>
    <x v="491"/>
    <n v="6"/>
    <n v="-2"/>
    <n v="1"/>
    <x v="1"/>
  </r>
  <r>
    <s v="PO-1494"/>
    <x v="5"/>
    <x v="3"/>
    <s v="IN-West"/>
    <d v="2024-11-19T00:00:00"/>
    <d v="2024-11-24T00:00:00"/>
    <d v="2024-11-23T00:00:00"/>
    <n v="568"/>
    <n v="540"/>
    <s v="Delivered"/>
    <x v="492"/>
    <n v="5"/>
    <n v="-1"/>
    <n v="1"/>
    <x v="1"/>
  </r>
  <r>
    <s v="PO-1495"/>
    <x v="3"/>
    <x v="1"/>
    <s v="IN-West"/>
    <d v="2024-11-24T00:00:00"/>
    <d v="2024-11-30T00:00:00"/>
    <d v="2024-12-02T00:00:00"/>
    <n v="1119"/>
    <n v="1074"/>
    <s v="Delivered"/>
    <x v="493"/>
    <n v="6"/>
    <n v="2"/>
    <n v="0"/>
    <x v="2"/>
  </r>
  <r>
    <s v="PO-1496"/>
    <x v="7"/>
    <x v="4"/>
    <s v="IN-North"/>
    <d v="2024-11-08T00:00:00"/>
    <d v="2024-11-29T00:00:00"/>
    <d v="2024-11-29T00:00:00"/>
    <n v="1880"/>
    <n v="1836"/>
    <s v="Delivered"/>
    <x v="494"/>
    <n v="21"/>
    <n v="0"/>
    <n v="1"/>
    <x v="2"/>
  </r>
  <r>
    <s v="PO-1497"/>
    <x v="6"/>
    <x v="3"/>
    <s v="IN-South"/>
    <d v="2024-11-15T00:00:00"/>
    <d v="2024-11-20T00:00:00"/>
    <d v="2024-11-19T00:00:00"/>
    <n v="470"/>
    <n v="428"/>
    <s v="Delivered"/>
    <x v="495"/>
    <n v="5"/>
    <n v="-1"/>
    <n v="0"/>
    <x v="1"/>
  </r>
  <r>
    <s v="PO-1498"/>
    <x v="2"/>
    <x v="1"/>
    <s v="APAC"/>
    <d v="2024-11-27T00:00:00"/>
    <d v="2024-12-03T00:00:00"/>
    <d v="2024-12-01T00:00:00"/>
    <n v="1174"/>
    <n v="1162"/>
    <s v="Delivered"/>
    <x v="496"/>
    <n v="6"/>
    <n v="-2"/>
    <n v="1"/>
    <x v="1"/>
  </r>
  <r>
    <s v="PO-1499"/>
    <x v="0"/>
    <x v="1"/>
    <s v="IN-West"/>
    <d v="2024-11-03T00:00:00"/>
    <d v="2024-11-09T00:00:00"/>
    <d v="2024-11-09T00:00:00"/>
    <n v="1304"/>
    <n v="1254"/>
    <s v="Delivered"/>
    <x v="497"/>
    <n v="6"/>
    <n v="0"/>
    <n v="1"/>
    <x v="0"/>
  </r>
  <r>
    <s v="PO-1500"/>
    <x v="3"/>
    <x v="1"/>
    <s v="APAC"/>
    <d v="2024-11-12T00:00:00"/>
    <d v="2024-11-18T00:00:00"/>
    <d v="2024-11-17T00:00:00"/>
    <n v="669"/>
    <n v="664"/>
    <s v="Delivered"/>
    <x v="498"/>
    <n v="6"/>
    <n v="-1"/>
    <n v="1"/>
    <x v="2"/>
  </r>
  <r>
    <s v="PO-1501"/>
    <x v="7"/>
    <x v="4"/>
    <s v="IN-South"/>
    <d v="2024-11-19T00:00:00"/>
    <d v="2024-12-10T00:00:00"/>
    <d v="2024-12-09T00:00:00"/>
    <n v="1177"/>
    <n v="1149"/>
    <s v="Delivered"/>
    <x v="499"/>
    <n v="21"/>
    <n v="-1"/>
    <n v="1"/>
    <x v="2"/>
  </r>
  <r>
    <s v="PO-1502"/>
    <x v="1"/>
    <x v="0"/>
    <s v="APAC"/>
    <d v="2024-11-09T00:00:00"/>
    <d v="2024-11-27T00:00:00"/>
    <d v="2024-11-27T00:00:00"/>
    <n v="1816"/>
    <n v="1419"/>
    <s v="Delivered"/>
    <x v="500"/>
    <n v="18"/>
    <n v="0"/>
    <n v="0"/>
    <x v="0"/>
  </r>
  <r>
    <s v="PO-1503"/>
    <x v="1"/>
    <x v="1"/>
    <s v="IN-West"/>
    <d v="2024-11-13T00:00:00"/>
    <d v="2024-11-19T00:00:00"/>
    <d v="2024-11-18T00:00:00"/>
    <n v="1037"/>
    <n v="891"/>
    <s v="Delivered"/>
    <x v="501"/>
    <n v="6"/>
    <n v="-1"/>
    <n v="0"/>
    <x v="0"/>
  </r>
  <r>
    <s v="PO-1504"/>
    <x v="5"/>
    <x v="4"/>
    <s v="IN-South"/>
    <d v="2024-11-09T00:00:00"/>
    <d v="2024-11-30T00:00:00"/>
    <d v="2024-11-30T00:00:00"/>
    <n v="764"/>
    <n v="763"/>
    <s v="Delivered"/>
    <x v="502"/>
    <n v="21"/>
    <n v="0"/>
    <n v="1"/>
    <x v="1"/>
  </r>
  <r>
    <s v="PO-1505"/>
    <x v="3"/>
    <x v="3"/>
    <s v="APAC"/>
    <d v="2024-11-18T00:00:00"/>
    <d v="2024-11-23T00:00:00"/>
    <d v="2024-11-23T00:00:00"/>
    <n v="1336"/>
    <n v="1267"/>
    <s v="Delivered"/>
    <x v="503"/>
    <n v="5"/>
    <n v="0"/>
    <n v="0"/>
    <x v="2"/>
  </r>
  <r>
    <s v="PO-1506"/>
    <x v="6"/>
    <x v="1"/>
    <s v="IN-South"/>
    <d v="2024-11-25T00:00:00"/>
    <d v="2024-12-01T00:00:00"/>
    <d v="2024-12-07T00:00:00"/>
    <n v="443"/>
    <n v="431"/>
    <s v="Delivered"/>
    <x v="504"/>
    <n v="6"/>
    <n v="6"/>
    <n v="0"/>
    <x v="1"/>
  </r>
  <r>
    <s v="PO-1507"/>
    <x v="7"/>
    <x v="3"/>
    <s v="IN-West"/>
    <d v="2024-11-07T00:00:00"/>
    <d v="2024-11-12T00:00:00"/>
    <d v="2024-11-17T00:00:00"/>
    <n v="1457"/>
    <n v="1412"/>
    <s v="Delivered"/>
    <x v="505"/>
    <n v="5"/>
    <n v="5"/>
    <n v="0"/>
    <x v="2"/>
  </r>
  <r>
    <s v="PO-1508"/>
    <x v="0"/>
    <x v="3"/>
    <s v="APAC"/>
    <d v="2024-11-21T00:00:00"/>
    <d v="2024-11-26T00:00:00"/>
    <d v="2024-11-28T00:00:00"/>
    <n v="1165"/>
    <n v="1145"/>
    <s v="Delivered"/>
    <x v="506"/>
    <n v="5"/>
    <n v="2"/>
    <n v="0"/>
    <x v="0"/>
  </r>
  <r>
    <s v="PO-1509"/>
    <x v="3"/>
    <x v="2"/>
    <s v="IN-West"/>
    <d v="2024-11-09T00:00:00"/>
    <d v="2024-11-16T00:00:00"/>
    <d v="2024-11-16T00:00:00"/>
    <n v="277"/>
    <n v="269"/>
    <s v="Delivered"/>
    <x v="507"/>
    <n v="7"/>
    <n v="0"/>
    <n v="1"/>
    <x v="2"/>
  </r>
  <r>
    <s v="PO-1510"/>
    <x v="3"/>
    <x v="1"/>
    <s v="IN-South"/>
    <d v="2024-11-23T00:00:00"/>
    <d v="2024-11-29T00:00:00"/>
    <d v="2024-12-01T00:00:00"/>
    <n v="1511"/>
    <n v="1434"/>
    <s v="Delivered"/>
    <x v="508"/>
    <n v="6"/>
    <n v="2"/>
    <n v="0"/>
    <x v="2"/>
  </r>
  <r>
    <s v="PO-1511"/>
    <x v="0"/>
    <x v="3"/>
    <s v="IN-South"/>
    <d v="2024-11-07T00:00:00"/>
    <d v="2024-11-12T00:00:00"/>
    <d v="2024-11-17T00:00:00"/>
    <n v="1256"/>
    <n v="1172"/>
    <s v="Delivered"/>
    <x v="509"/>
    <n v="5"/>
    <n v="5"/>
    <n v="0"/>
    <x v="0"/>
  </r>
  <r>
    <s v="PO-1512"/>
    <x v="5"/>
    <x v="2"/>
    <s v="IN-South"/>
    <d v="2024-11-08T00:00:00"/>
    <d v="2024-11-15T00:00:00"/>
    <d v="2024-11-23T00:00:00"/>
    <n v="765"/>
    <n v="748"/>
    <s v="Delivered"/>
    <x v="510"/>
    <n v="7"/>
    <n v="8"/>
    <n v="0"/>
    <x v="1"/>
  </r>
  <r>
    <s v="PO-1513"/>
    <x v="4"/>
    <x v="4"/>
    <s v="APAC"/>
    <d v="2024-11-19T00:00:00"/>
    <d v="2024-12-10T00:00:00"/>
    <d v="2024-12-10T00:00:00"/>
    <n v="1641"/>
    <n v="1488"/>
    <s v="Delivered"/>
    <x v="511"/>
    <n v="21"/>
    <n v="0"/>
    <n v="0"/>
    <x v="2"/>
  </r>
  <r>
    <s v="PO-1514"/>
    <x v="1"/>
    <x v="1"/>
    <s v="IN-South"/>
    <d v="2024-11-24T00:00:00"/>
    <d v="2024-11-30T00:00:00"/>
    <d v="2024-11-29T00:00:00"/>
    <n v="663"/>
    <n v="605"/>
    <s v="Delivered"/>
    <x v="512"/>
    <n v="6"/>
    <n v="-1"/>
    <n v="0"/>
    <x v="0"/>
  </r>
  <r>
    <s v="PO-1515"/>
    <x v="2"/>
    <x v="4"/>
    <s v="APAC"/>
    <d v="2024-11-19T00:00:00"/>
    <d v="2024-12-10T00:00:00"/>
    <d v="2024-12-09T00:00:00"/>
    <n v="1236"/>
    <n v="1125"/>
    <s v="Delivered"/>
    <x v="513"/>
    <n v="21"/>
    <n v="-1"/>
    <n v="0"/>
    <x v="1"/>
  </r>
  <r>
    <s v="PO-1516"/>
    <x v="1"/>
    <x v="1"/>
    <s v="IN-South"/>
    <d v="2024-11-11T00:00:00"/>
    <d v="2024-11-17T00:00:00"/>
    <d v="2024-11-20T00:00:00"/>
    <n v="1994"/>
    <n v="1791"/>
    <s v="Delivered"/>
    <x v="514"/>
    <n v="6"/>
    <n v="3"/>
    <n v="0"/>
    <x v="0"/>
  </r>
  <r>
    <s v="PO-1517"/>
    <x v="6"/>
    <x v="4"/>
    <s v="APAC"/>
    <d v="2024-11-19T00:00:00"/>
    <d v="2024-12-10T00:00:00"/>
    <d v="2024-12-13T00:00:00"/>
    <n v="1788"/>
    <n v="1691"/>
    <s v="Delivered"/>
    <x v="515"/>
    <n v="21"/>
    <n v="3"/>
    <n v="0"/>
    <x v="1"/>
  </r>
  <r>
    <s v="PO-1518"/>
    <x v="7"/>
    <x v="1"/>
    <s v="IN-West"/>
    <d v="2024-11-16T00:00:00"/>
    <d v="2024-11-22T00:00:00"/>
    <d v="2024-11-21T00:00:00"/>
    <n v="1497"/>
    <n v="1465"/>
    <s v="Delivered"/>
    <x v="516"/>
    <n v="6"/>
    <n v="-1"/>
    <n v="1"/>
    <x v="2"/>
  </r>
  <r>
    <s v="PO-1519"/>
    <x v="2"/>
    <x v="3"/>
    <s v="IN-South"/>
    <d v="2024-11-14T00:00:00"/>
    <d v="2024-11-19T00:00:00"/>
    <d v="2024-11-17T00:00:00"/>
    <n v="1635"/>
    <n v="1607"/>
    <s v="Delivered"/>
    <x v="350"/>
    <n v="5"/>
    <n v="-2"/>
    <n v="1"/>
    <x v="1"/>
  </r>
  <r>
    <s v="PO-1520"/>
    <x v="2"/>
    <x v="0"/>
    <s v="IN-West"/>
    <d v="2024-11-13T00:00:00"/>
    <d v="2024-12-01T00:00:00"/>
    <d v="2024-11-29T00:00:00"/>
    <n v="1175"/>
    <n v="1094"/>
    <s v="Delivered"/>
    <x v="517"/>
    <n v="18"/>
    <n v="-2"/>
    <n v="0"/>
    <x v="1"/>
  </r>
  <r>
    <s v="PO-1521"/>
    <x v="2"/>
    <x v="1"/>
    <s v="IN-South"/>
    <d v="2024-11-06T00:00:00"/>
    <d v="2024-11-12T00:00:00"/>
    <d v="2024-11-10T00:00:00"/>
    <n v="680"/>
    <n v="662"/>
    <s v="Delivered"/>
    <x v="518"/>
    <n v="6"/>
    <n v="-2"/>
    <n v="1"/>
    <x v="1"/>
  </r>
  <r>
    <s v="PO-1522"/>
    <x v="6"/>
    <x v="3"/>
    <s v="IN-North"/>
    <d v="2024-11-07T00:00:00"/>
    <d v="2024-11-12T00:00:00"/>
    <d v="2024-11-15T00:00:00"/>
    <n v="519"/>
    <n v="507"/>
    <s v="Delivered"/>
    <x v="519"/>
    <n v="5"/>
    <n v="3"/>
    <n v="0"/>
    <x v="1"/>
  </r>
  <r>
    <s v="PO-1523"/>
    <x v="1"/>
    <x v="2"/>
    <s v="APAC"/>
    <d v="2024-11-20T00:00:00"/>
    <d v="2024-11-27T00:00:00"/>
    <d v="2024-12-02T00:00:00"/>
    <n v="286"/>
    <n v="276"/>
    <s v="Delivered"/>
    <x v="520"/>
    <n v="7"/>
    <n v="5"/>
    <n v="0"/>
    <x v="0"/>
  </r>
  <r>
    <s v="PO-1524"/>
    <x v="4"/>
    <x v="1"/>
    <s v="IN-South"/>
    <d v="2024-11-16T00:00:00"/>
    <d v="2024-11-22T00:00:00"/>
    <d v="2024-11-22T00:00:00"/>
    <n v="773"/>
    <n v="726"/>
    <s v="Delivered"/>
    <x v="521"/>
    <n v="6"/>
    <n v="0"/>
    <n v="0"/>
    <x v="2"/>
  </r>
  <r>
    <s v="PO-1525"/>
    <x v="5"/>
    <x v="2"/>
    <s v="APAC"/>
    <d v="2024-11-16T00:00:00"/>
    <d v="2024-11-23T00:00:00"/>
    <d v="2024-11-22T00:00:00"/>
    <n v="1962"/>
    <n v="1900"/>
    <s v="Delivered"/>
    <x v="522"/>
    <n v="7"/>
    <n v="-1"/>
    <n v="1"/>
    <x v="1"/>
  </r>
  <r>
    <s v="PO-1526"/>
    <x v="5"/>
    <x v="4"/>
    <s v="IN-West"/>
    <d v="2024-11-23T00:00:00"/>
    <d v="2024-12-14T00:00:00"/>
    <d v="2024-12-12T00:00:00"/>
    <n v="224"/>
    <n v="216"/>
    <s v="Delivered"/>
    <x v="523"/>
    <n v="21"/>
    <n v="-2"/>
    <n v="1"/>
    <x v="1"/>
  </r>
  <r>
    <s v="PO-1527"/>
    <x v="3"/>
    <x v="1"/>
    <s v="IN-West"/>
    <d v="2024-11-11T00:00:00"/>
    <d v="2024-11-17T00:00:00"/>
    <d v="2024-11-16T00:00:00"/>
    <n v="583"/>
    <n v="556"/>
    <s v="Delivered"/>
    <x v="524"/>
    <n v="6"/>
    <n v="-1"/>
    <n v="1"/>
    <x v="2"/>
  </r>
  <r>
    <s v="PO-1528"/>
    <x v="2"/>
    <x v="0"/>
    <s v="APAC"/>
    <d v="2024-11-20T00:00:00"/>
    <d v="2024-12-08T00:00:00"/>
    <d v="2024-12-07T00:00:00"/>
    <n v="1068"/>
    <n v="983"/>
    <s v="Delivered"/>
    <x v="525"/>
    <n v="18"/>
    <n v="-1"/>
    <n v="0"/>
    <x v="1"/>
  </r>
  <r>
    <s v="PO-1529"/>
    <x v="4"/>
    <x v="0"/>
    <s v="APAC"/>
    <d v="2024-11-09T00:00:00"/>
    <d v="2024-11-27T00:00:00"/>
    <d v="2024-11-25T00:00:00"/>
    <n v="1379"/>
    <n v="1335"/>
    <s v="Delivered"/>
    <x v="526"/>
    <n v="18"/>
    <n v="-2"/>
    <n v="1"/>
    <x v="2"/>
  </r>
  <r>
    <s v="PO-1530"/>
    <x v="1"/>
    <x v="0"/>
    <s v="IN-North"/>
    <d v="2024-11-18T00:00:00"/>
    <d v="2024-12-06T00:00:00"/>
    <d v="2024-12-08T00:00:00"/>
    <n v="498"/>
    <n v="476"/>
    <s v="Delivered"/>
    <x v="527"/>
    <n v="18"/>
    <n v="2"/>
    <n v="0"/>
    <x v="0"/>
  </r>
  <r>
    <s v="PO-1531"/>
    <x v="5"/>
    <x v="4"/>
    <s v="IN-West"/>
    <d v="2024-11-06T00:00:00"/>
    <d v="2024-11-27T00:00:00"/>
    <d v="2024-11-27T00:00:00"/>
    <n v="1258"/>
    <n v="1199"/>
    <s v="Delivered"/>
    <x v="528"/>
    <n v="21"/>
    <n v="0"/>
    <n v="1"/>
    <x v="1"/>
  </r>
  <r>
    <s v="PO-1532"/>
    <x v="4"/>
    <x v="4"/>
    <s v="IN-South"/>
    <d v="2024-11-09T00:00:00"/>
    <d v="2024-11-30T00:00:00"/>
    <d v="2024-11-30T00:00:00"/>
    <n v="534"/>
    <n v="483"/>
    <s v="Delivered"/>
    <x v="529"/>
    <n v="21"/>
    <n v="0"/>
    <n v="0"/>
    <x v="2"/>
  </r>
  <r>
    <s v="PO-1533"/>
    <x v="6"/>
    <x v="4"/>
    <s v="IN-West"/>
    <d v="2024-11-15T00:00:00"/>
    <d v="2024-12-06T00:00:00"/>
    <d v="2024-12-05T00:00:00"/>
    <n v="1347"/>
    <n v="1287"/>
    <s v="Delivered"/>
    <x v="530"/>
    <n v="21"/>
    <n v="-1"/>
    <n v="1"/>
    <x v="1"/>
  </r>
  <r>
    <s v="PO-1534"/>
    <x v="6"/>
    <x v="0"/>
    <s v="IN-West"/>
    <d v="2024-11-14T00:00:00"/>
    <d v="2024-12-02T00:00:00"/>
    <d v="2024-12-02T00:00:00"/>
    <n v="1440"/>
    <n v="1324"/>
    <s v="Delivered"/>
    <x v="531"/>
    <n v="18"/>
    <n v="0"/>
    <n v="0"/>
    <x v="1"/>
  </r>
  <r>
    <s v="PO-1535"/>
    <x v="6"/>
    <x v="0"/>
    <s v="IN-South"/>
    <d v="2024-12-22T00:00:00"/>
    <d v="2025-01-09T00:00:00"/>
    <d v="2025-01-13T00:00:00"/>
    <n v="360"/>
    <n v="337"/>
    <s v="In-Transit"/>
    <x v="532"/>
    <n v="18"/>
    <n v="4"/>
    <n v="0"/>
    <x v="1"/>
  </r>
  <r>
    <s v="PO-1536"/>
    <x v="6"/>
    <x v="4"/>
    <s v="IN-North"/>
    <d v="2024-12-28T00:00:00"/>
    <d v="2025-01-18T00:00:00"/>
    <d v="2025-01-17T00:00:00"/>
    <n v="1063"/>
    <n v="1023"/>
    <s v="In-Transit"/>
    <x v="533"/>
    <n v="21"/>
    <n v="-1"/>
    <n v="0"/>
    <x v="1"/>
  </r>
  <r>
    <s v="PO-1537"/>
    <x v="3"/>
    <x v="2"/>
    <s v="IN-West"/>
    <d v="2024-12-06T00:00:00"/>
    <d v="2024-12-13T00:00:00"/>
    <d v="2024-12-12T00:00:00"/>
    <n v="1537"/>
    <n v="1428"/>
    <s v="Delivered"/>
    <x v="534"/>
    <n v="7"/>
    <n v="-1"/>
    <n v="0"/>
    <x v="2"/>
  </r>
  <r>
    <s v="PO-1538"/>
    <x v="6"/>
    <x v="1"/>
    <s v="APAC"/>
    <d v="2024-12-09T00:00:00"/>
    <d v="2024-12-15T00:00:00"/>
    <d v="2024-12-18T00:00:00"/>
    <n v="1731"/>
    <n v="1659"/>
    <s v="Delivered"/>
    <x v="535"/>
    <n v="6"/>
    <n v="3"/>
    <n v="0"/>
    <x v="1"/>
  </r>
  <r>
    <s v="PO-1539"/>
    <x v="7"/>
    <x v="4"/>
    <s v="IN-North"/>
    <d v="2024-12-06T00:00:00"/>
    <d v="2024-12-27T00:00:00"/>
    <d v="2024-12-25T00:00:00"/>
    <n v="1555"/>
    <n v="1438"/>
    <s v="Delivered"/>
    <x v="536"/>
    <n v="21"/>
    <n v="-2"/>
    <n v="0"/>
    <x v="2"/>
  </r>
  <r>
    <s v="PO-1540"/>
    <x v="1"/>
    <x v="3"/>
    <s v="IN-North"/>
    <d v="2024-12-13T00:00:00"/>
    <d v="2024-12-18T00:00:00"/>
    <d v="2024-12-17T00:00:00"/>
    <n v="1323"/>
    <n v="1047"/>
    <s v="Delivered"/>
    <x v="537"/>
    <n v="5"/>
    <n v="-1"/>
    <n v="0"/>
    <x v="0"/>
  </r>
  <r>
    <s v="PO-1541"/>
    <x v="3"/>
    <x v="1"/>
    <s v="IN-West"/>
    <d v="2024-12-04T00:00:00"/>
    <d v="2024-12-10T00:00:00"/>
    <d v="2024-12-08T00:00:00"/>
    <n v="1541"/>
    <n v="1530"/>
    <s v="Delivered"/>
    <x v="538"/>
    <n v="6"/>
    <n v="-2"/>
    <n v="1"/>
    <x v="2"/>
  </r>
  <r>
    <s v="PO-1542"/>
    <x v="3"/>
    <x v="0"/>
    <s v="IN-North"/>
    <d v="2024-12-08T00:00:00"/>
    <d v="2024-12-26T00:00:00"/>
    <d v="2024-12-24T00:00:00"/>
    <n v="468"/>
    <n v="445"/>
    <s v="Delivered"/>
    <x v="539"/>
    <n v="18"/>
    <n v="-2"/>
    <n v="1"/>
    <x v="2"/>
  </r>
  <r>
    <s v="PO-1543"/>
    <x v="5"/>
    <x v="2"/>
    <s v="IN-West"/>
    <d v="2024-12-22T00:00:00"/>
    <d v="2024-12-29T00:00:00"/>
    <d v="2025-01-01T00:00:00"/>
    <n v="1969"/>
    <n v="1865"/>
    <s v="In-Transit"/>
    <x v="540"/>
    <n v="7"/>
    <n v="3"/>
    <n v="0"/>
    <x v="1"/>
  </r>
  <r>
    <s v="PO-1544"/>
    <x v="6"/>
    <x v="1"/>
    <s v="APAC"/>
    <d v="2024-12-05T00:00:00"/>
    <d v="2024-12-11T00:00:00"/>
    <d v="2024-12-10T00:00:00"/>
    <n v="1492"/>
    <n v="1454"/>
    <s v="Delivered"/>
    <x v="541"/>
    <n v="6"/>
    <n v="-1"/>
    <n v="1"/>
    <x v="1"/>
  </r>
  <r>
    <s v="PO-1545"/>
    <x v="3"/>
    <x v="1"/>
    <s v="IN-South"/>
    <d v="2024-12-12T00:00:00"/>
    <d v="2024-12-18T00:00:00"/>
    <d v="2024-12-16T00:00:00"/>
    <n v="1104"/>
    <n v="1027"/>
    <s v="Delivered"/>
    <x v="542"/>
    <n v="6"/>
    <n v="-2"/>
    <n v="0"/>
    <x v="2"/>
  </r>
  <r>
    <s v="PO-1546"/>
    <x v="3"/>
    <x v="0"/>
    <s v="IN-North"/>
    <d v="2024-12-10T00:00:00"/>
    <d v="2024-12-28T00:00:00"/>
    <d v="2024-12-26T00:00:00"/>
    <n v="904"/>
    <n v="839"/>
    <s v="Delivered"/>
    <x v="543"/>
    <n v="18"/>
    <n v="-2"/>
    <n v="0"/>
    <x v="2"/>
  </r>
  <r>
    <s v="PO-1547"/>
    <x v="0"/>
    <x v="4"/>
    <s v="APAC"/>
    <d v="2024-12-10T00:00:00"/>
    <d v="2024-12-31T00:00:00"/>
    <d v="2025-01-03T00:00:00"/>
    <n v="1422"/>
    <n v="1181"/>
    <s v="At Risk"/>
    <x v="544"/>
    <n v="21"/>
    <n v="3"/>
    <n v="0"/>
    <x v="0"/>
  </r>
  <r>
    <s v="PO-1548"/>
    <x v="0"/>
    <x v="1"/>
    <s v="IN-South"/>
    <d v="2024-12-07T00:00:00"/>
    <d v="2024-12-13T00:00:00"/>
    <d v="2024-12-17T00:00:00"/>
    <n v="1008"/>
    <n v="841"/>
    <s v="Delivered"/>
    <x v="545"/>
    <n v="6"/>
    <n v="4"/>
    <n v="0"/>
    <x v="0"/>
  </r>
  <r>
    <s v="PO-1549"/>
    <x v="3"/>
    <x v="4"/>
    <s v="IN-North"/>
    <d v="2024-12-09T00:00:00"/>
    <d v="2024-12-30T00:00:00"/>
    <d v="2024-12-28T00:00:00"/>
    <n v="1258"/>
    <n v="1228"/>
    <s v="Delivered"/>
    <x v="546"/>
    <n v="21"/>
    <n v="-2"/>
    <n v="1"/>
    <x v="2"/>
  </r>
  <r>
    <s v="PO-1550"/>
    <x v="6"/>
    <x v="0"/>
    <s v="IN-South"/>
    <d v="2024-12-14T00:00:00"/>
    <d v="2025-01-01T00:00:00"/>
    <d v="2025-01-03T00:00:00"/>
    <n v="479"/>
    <n v="444"/>
    <s v="At Risk"/>
    <x v="547"/>
    <n v="18"/>
    <n v="2"/>
    <n v="0"/>
    <x v="1"/>
  </r>
  <r>
    <s v="PO-1551"/>
    <x v="7"/>
    <x v="1"/>
    <s v="APAC"/>
    <d v="2024-12-09T00:00:00"/>
    <d v="2024-12-15T00:00:00"/>
    <d v="2024-12-13T00:00:00"/>
    <n v="511"/>
    <n v="462"/>
    <s v="Delivered"/>
    <x v="548"/>
    <n v="6"/>
    <n v="-2"/>
    <n v="0"/>
    <x v="2"/>
  </r>
  <r>
    <s v="PO-1552"/>
    <x v="0"/>
    <x v="3"/>
    <s v="IN-West"/>
    <d v="2024-12-10T00:00:00"/>
    <d v="2024-12-15T00:00:00"/>
    <d v="2024-12-14T00:00:00"/>
    <n v="1689"/>
    <n v="1320"/>
    <s v="Delivered"/>
    <x v="549"/>
    <n v="5"/>
    <n v="-1"/>
    <n v="0"/>
    <x v="0"/>
  </r>
  <r>
    <s v="PO-1553"/>
    <x v="1"/>
    <x v="3"/>
    <s v="IN-West"/>
    <d v="2024-12-16T00:00:00"/>
    <d v="2024-12-21T00:00:00"/>
    <d v="2024-12-20T00:00:00"/>
    <n v="1809"/>
    <n v="1729"/>
    <s v="Delivered"/>
    <x v="550"/>
    <n v="5"/>
    <n v="-1"/>
    <n v="1"/>
    <x v="0"/>
  </r>
  <r>
    <s v="PO-1554"/>
    <x v="4"/>
    <x v="4"/>
    <s v="IN-West"/>
    <d v="2024-12-11T00:00:00"/>
    <d v="2025-01-01T00:00:00"/>
    <d v="2025-01-03T00:00:00"/>
    <n v="314"/>
    <n v="290"/>
    <s v="At Risk"/>
    <x v="551"/>
    <n v="21"/>
    <n v="2"/>
    <n v="0"/>
    <x v="2"/>
  </r>
  <r>
    <s v="PO-1555"/>
    <x v="3"/>
    <x v="2"/>
    <s v="APAC"/>
    <d v="2024-12-06T00:00:00"/>
    <d v="2024-12-13T00:00:00"/>
    <d v="2024-12-16T00:00:00"/>
    <n v="1873"/>
    <n v="1757"/>
    <s v="Delivered"/>
    <x v="552"/>
    <n v="7"/>
    <n v="3"/>
    <n v="0"/>
    <x v="2"/>
  </r>
  <r>
    <s v="PO-1556"/>
    <x v="0"/>
    <x v="2"/>
    <s v="IN-North"/>
    <d v="2024-12-13T00:00:00"/>
    <d v="2024-12-20T00:00:00"/>
    <d v="2024-12-18T00:00:00"/>
    <n v="607"/>
    <n v="534"/>
    <s v="Delivered"/>
    <x v="553"/>
    <n v="7"/>
    <n v="-2"/>
    <n v="0"/>
    <x v="0"/>
  </r>
  <r>
    <s v="PO-1557"/>
    <x v="1"/>
    <x v="1"/>
    <s v="IN-North"/>
    <d v="2024-12-16T00:00:00"/>
    <d v="2024-12-22T00:00:00"/>
    <d v="2024-12-21T00:00:00"/>
    <n v="861"/>
    <n v="701"/>
    <s v="Delivered"/>
    <x v="554"/>
    <n v="6"/>
    <n v="-1"/>
    <n v="0"/>
    <x v="0"/>
  </r>
  <r>
    <s v="PO-1558"/>
    <x v="0"/>
    <x v="1"/>
    <s v="IN-West"/>
    <d v="2024-12-09T00:00:00"/>
    <d v="2024-12-15T00:00:00"/>
    <d v="2024-12-13T00:00:00"/>
    <n v="938"/>
    <n v="914"/>
    <s v="Delivered"/>
    <x v="555"/>
    <n v="6"/>
    <n v="-2"/>
    <n v="1"/>
    <x v="0"/>
  </r>
  <r>
    <s v="PO-1559"/>
    <x v="2"/>
    <x v="2"/>
    <s v="IN-North"/>
    <d v="2024-12-21T00:00:00"/>
    <d v="2024-12-28T00:00:00"/>
    <d v="2024-12-26T00:00:00"/>
    <n v="1826"/>
    <n v="1693"/>
    <s v="Delivered"/>
    <x v="556"/>
    <n v="7"/>
    <n v="-2"/>
    <n v="0"/>
    <x v="1"/>
  </r>
  <r>
    <s v="PO-1560"/>
    <x v="1"/>
    <x v="4"/>
    <s v="IN-North"/>
    <d v="2024-12-01T00:00:00"/>
    <d v="2024-12-22T00:00:00"/>
    <d v="2024-12-22T00:00:00"/>
    <n v="1173"/>
    <n v="1092"/>
    <s v="Delivered"/>
    <x v="557"/>
    <n v="21"/>
    <n v="0"/>
    <n v="0"/>
    <x v="0"/>
  </r>
  <r>
    <s v="PO-1561"/>
    <x v="5"/>
    <x v="0"/>
    <s v="IN-West"/>
    <d v="2024-12-08T00:00:00"/>
    <d v="2024-12-26T00:00:00"/>
    <d v="2024-12-26T00:00:00"/>
    <n v="1466"/>
    <n v="1369"/>
    <s v="Delivered"/>
    <x v="558"/>
    <n v="18"/>
    <n v="0"/>
    <n v="0"/>
    <x v="1"/>
  </r>
  <r>
    <s v="PO-1562"/>
    <x v="0"/>
    <x v="2"/>
    <s v="IN-South"/>
    <d v="2024-12-21T00:00:00"/>
    <d v="2024-12-28T00:00:00"/>
    <d v="2024-12-29T00:00:00"/>
    <n v="457"/>
    <n v="405"/>
    <s v="Delivered"/>
    <x v="559"/>
    <n v="7"/>
    <n v="1"/>
    <n v="0"/>
    <x v="0"/>
  </r>
  <r>
    <s v="PO-1563"/>
    <x v="4"/>
    <x v="1"/>
    <s v="IN-South"/>
    <d v="2024-12-26T00:00:00"/>
    <d v="2025-01-01T00:00:00"/>
    <d v="2025-01-02T00:00:00"/>
    <n v="1611"/>
    <n v="1510"/>
    <s v="In-Transit"/>
    <x v="560"/>
    <n v="6"/>
    <n v="1"/>
    <n v="0"/>
    <x v="2"/>
  </r>
  <r>
    <s v="PO-1564"/>
    <x v="5"/>
    <x v="0"/>
    <s v="IN-West"/>
    <d v="2024-12-16T00:00:00"/>
    <d v="2025-01-03T00:00:00"/>
    <d v="2025-01-03T00:00:00"/>
    <n v="1627"/>
    <n v="1544"/>
    <s v="At Risk"/>
    <x v="561"/>
    <n v="18"/>
    <n v="0"/>
    <n v="0"/>
    <x v="1"/>
  </r>
  <r>
    <s v="PO-1565"/>
    <x v="5"/>
    <x v="1"/>
    <s v="IN-South"/>
    <d v="2024-12-11T00:00:00"/>
    <d v="2024-12-17T00:00:00"/>
    <d v="2024-12-17T00:00:00"/>
    <n v="1962"/>
    <n v="1874"/>
    <s v="Delivered"/>
    <x v="562"/>
    <n v="6"/>
    <n v="0"/>
    <n v="1"/>
    <x v="1"/>
  </r>
  <r>
    <s v="PO-1566"/>
    <x v="1"/>
    <x v="1"/>
    <s v="IN-North"/>
    <d v="2024-12-15T00:00:00"/>
    <d v="2024-12-21T00:00:00"/>
    <d v="2024-12-26T00:00:00"/>
    <n v="951"/>
    <n v="836"/>
    <s v="Delivered"/>
    <x v="563"/>
    <n v="6"/>
    <n v="5"/>
    <n v="0"/>
    <x v="0"/>
  </r>
  <r>
    <s v="PO-1567"/>
    <x v="3"/>
    <x v="3"/>
    <s v="IN-West"/>
    <d v="2024-12-20T00:00:00"/>
    <d v="2024-12-25T00:00:00"/>
    <d v="2024-12-27T00:00:00"/>
    <n v="856"/>
    <n v="832"/>
    <s v="Delivered"/>
    <x v="564"/>
    <n v="5"/>
    <n v="2"/>
    <n v="0"/>
    <x v="2"/>
  </r>
  <r>
    <s v="PO-1568"/>
    <x v="3"/>
    <x v="3"/>
    <s v="APAC"/>
    <d v="2024-12-25T00:00:00"/>
    <d v="2024-12-30T00:00:00"/>
    <d v="2024-12-29T00:00:00"/>
    <n v="1039"/>
    <n v="1001"/>
    <s v="Delivered"/>
    <x v="565"/>
    <n v="5"/>
    <n v="-1"/>
    <n v="1"/>
    <x v="2"/>
  </r>
  <r>
    <s v="PO-1569"/>
    <x v="1"/>
    <x v="2"/>
    <s v="IN-West"/>
    <d v="2024-12-02T00:00:00"/>
    <d v="2024-12-09T00:00:00"/>
    <d v="2024-12-07T00:00:00"/>
    <n v="613"/>
    <n v="492"/>
    <s v="Delivered"/>
    <x v="566"/>
    <n v="7"/>
    <n v="-2"/>
    <n v="0"/>
    <x v="0"/>
  </r>
  <r>
    <s v="PO-1570"/>
    <x v="2"/>
    <x v="2"/>
    <s v="IN-West"/>
    <d v="2024-12-19T00:00:00"/>
    <d v="2024-12-26T00:00:00"/>
    <d v="2024-12-26T00:00:00"/>
    <n v="1477"/>
    <n v="1432"/>
    <s v="Delivered"/>
    <x v="567"/>
    <n v="7"/>
    <n v="0"/>
    <n v="1"/>
    <x v="1"/>
  </r>
  <r>
    <s v="PO-1571"/>
    <x v="6"/>
    <x v="2"/>
    <s v="IN-South"/>
    <d v="2024-12-08T00:00:00"/>
    <d v="2024-12-15T00:00:00"/>
    <d v="2024-12-13T00:00:00"/>
    <n v="1542"/>
    <n v="1463"/>
    <s v="Delivered"/>
    <x v="568"/>
    <n v="7"/>
    <n v="-2"/>
    <n v="0"/>
    <x v="1"/>
  </r>
  <r>
    <s v="PO-1572"/>
    <x v="1"/>
    <x v="4"/>
    <s v="IN-West"/>
    <d v="2024-12-12T00:00:00"/>
    <d v="2025-01-02T00:00:00"/>
    <d v="2025-01-08T00:00:00"/>
    <n v="319"/>
    <n v="306"/>
    <s v="In-Transit"/>
    <x v="569"/>
    <n v="21"/>
    <n v="6"/>
    <n v="0"/>
    <x v="0"/>
  </r>
  <r>
    <s v="PO-1573"/>
    <x v="6"/>
    <x v="1"/>
    <s v="IN-West"/>
    <d v="2024-12-24T00:00:00"/>
    <d v="2024-12-30T00:00:00"/>
    <d v="2024-12-31T00:00:00"/>
    <n v="642"/>
    <n v="639"/>
    <s v="Delivered"/>
    <x v="570"/>
    <n v="6"/>
    <n v="1"/>
    <n v="0"/>
    <x v="1"/>
  </r>
  <r>
    <s v="PO-1574"/>
    <x v="1"/>
    <x v="2"/>
    <s v="IN-North"/>
    <d v="2024-12-18T00:00:00"/>
    <d v="2024-12-25T00:00:00"/>
    <d v="2024-12-25T00:00:00"/>
    <n v="1545"/>
    <n v="1289"/>
    <s v="Delivered"/>
    <x v="571"/>
    <n v="7"/>
    <n v="0"/>
    <n v="0"/>
    <x v="0"/>
  </r>
  <r>
    <s v="PO-1575"/>
    <x v="5"/>
    <x v="1"/>
    <s v="APAC"/>
    <d v="2024-12-24T00:00:00"/>
    <d v="2024-12-30T00:00:00"/>
    <d v="2025-01-04T00:00:00"/>
    <n v="933"/>
    <n v="902"/>
    <s v="In-Transit"/>
    <x v="572"/>
    <n v="6"/>
    <n v="5"/>
    <n v="0"/>
    <x v="1"/>
  </r>
  <r>
    <s v="PO-1576"/>
    <x v="3"/>
    <x v="2"/>
    <s v="IN-North"/>
    <d v="2024-12-26T00:00:00"/>
    <d v="2025-01-02T00:00:00"/>
    <d v="2025-01-02T00:00:00"/>
    <n v="891"/>
    <n v="860"/>
    <s v="In-Transit"/>
    <x v="573"/>
    <n v="7"/>
    <n v="0"/>
    <n v="0"/>
    <x v="2"/>
  </r>
  <r>
    <s v="PO-1577"/>
    <x v="7"/>
    <x v="0"/>
    <s v="IN-South"/>
    <d v="2024-12-18T00:00:00"/>
    <d v="2025-01-05T00:00:00"/>
    <d v="2025-01-09T00:00:00"/>
    <n v="1765"/>
    <n v="1700"/>
    <s v="In-Transit"/>
    <x v="185"/>
    <n v="18"/>
    <n v="4"/>
    <n v="0"/>
    <x v="2"/>
  </r>
  <r>
    <s v="PO-1578"/>
    <x v="4"/>
    <x v="1"/>
    <s v="IN-North"/>
    <d v="2024-12-19T00:00:00"/>
    <d v="2024-12-25T00:00:00"/>
    <d v="2024-12-25T00:00:00"/>
    <n v="1724"/>
    <n v="1595"/>
    <s v="Delivered"/>
    <x v="574"/>
    <n v="6"/>
    <n v="0"/>
    <n v="0"/>
    <x v="2"/>
  </r>
  <r>
    <s v="PO-1579"/>
    <x v="7"/>
    <x v="4"/>
    <s v="APAC"/>
    <d v="2024-12-01T00:00:00"/>
    <d v="2024-12-22T00:00:00"/>
    <d v="2024-12-29T00:00:00"/>
    <n v="1260"/>
    <n v="1151"/>
    <s v="Delivered"/>
    <x v="575"/>
    <n v="21"/>
    <n v="7"/>
    <n v="0"/>
    <x v="2"/>
  </r>
  <r>
    <s v="PO-1580"/>
    <x v="6"/>
    <x v="2"/>
    <s v="IN-South"/>
    <d v="2024-12-08T00:00:00"/>
    <d v="2024-12-15T00:00:00"/>
    <d v="2024-12-16T00:00:00"/>
    <n v="1780"/>
    <n v="1748"/>
    <s v="Delivered"/>
    <x v="576"/>
    <n v="7"/>
    <n v="1"/>
    <n v="0"/>
    <x v="1"/>
  </r>
  <r>
    <s v="PO-1581"/>
    <x v="6"/>
    <x v="1"/>
    <s v="IN-North"/>
    <d v="2024-12-04T00:00:00"/>
    <d v="2024-12-10T00:00:00"/>
    <d v="2024-12-08T00:00:00"/>
    <n v="483"/>
    <n v="447"/>
    <s v="Delivered"/>
    <x v="577"/>
    <n v="6"/>
    <n v="-2"/>
    <n v="0"/>
    <x v="1"/>
  </r>
  <r>
    <s v="PO-1582"/>
    <x v="2"/>
    <x v="3"/>
    <s v="IN-South"/>
    <d v="2024-12-26T00:00:00"/>
    <d v="2024-12-31T00:00:00"/>
    <d v="2024-12-30T00:00:00"/>
    <n v="1365"/>
    <n v="1353"/>
    <s v="Delivered"/>
    <x v="578"/>
    <n v="5"/>
    <n v="-1"/>
    <n v="1"/>
    <x v="1"/>
  </r>
  <r>
    <s v="PO-1583"/>
    <x v="1"/>
    <x v="0"/>
    <s v="APAC"/>
    <d v="2024-12-06T00:00:00"/>
    <d v="2024-12-24T00:00:00"/>
    <d v="2024-12-30T00:00:00"/>
    <n v="1639"/>
    <n v="1486"/>
    <s v="Delivered"/>
    <x v="579"/>
    <n v="18"/>
    <n v="6"/>
    <n v="0"/>
    <x v="0"/>
  </r>
  <r>
    <s v="PO-1584"/>
    <x v="1"/>
    <x v="1"/>
    <s v="IN-South"/>
    <d v="2024-12-02T00:00:00"/>
    <d v="2024-12-08T00:00:00"/>
    <d v="2024-12-06T00:00:00"/>
    <n v="1778"/>
    <n v="1517"/>
    <s v="Delivered"/>
    <x v="580"/>
    <n v="6"/>
    <n v="-2"/>
    <n v="0"/>
    <x v="0"/>
  </r>
  <r>
    <s v="PO-1585"/>
    <x v="3"/>
    <x v="4"/>
    <s v="IN-West"/>
    <d v="2024-12-28T00:00:00"/>
    <d v="2025-01-18T00:00:00"/>
    <d v="2025-01-23T00:00:00"/>
    <n v="223"/>
    <n v="214"/>
    <s v="In-Transit"/>
    <x v="581"/>
    <n v="21"/>
    <n v="5"/>
    <n v="0"/>
    <x v="2"/>
  </r>
  <r>
    <s v="PO-1586"/>
    <x v="3"/>
    <x v="2"/>
    <s v="IN-South"/>
    <d v="2024-12-17T00:00:00"/>
    <d v="2024-12-24T00:00:00"/>
    <d v="2024-12-24T00:00:00"/>
    <n v="506"/>
    <n v="471"/>
    <s v="Delivered"/>
    <x v="582"/>
    <n v="7"/>
    <n v="0"/>
    <n v="0"/>
    <x v="2"/>
  </r>
  <r>
    <s v="PO-1587"/>
    <x v="2"/>
    <x v="3"/>
    <s v="IN-West"/>
    <d v="2024-12-22T00:00:00"/>
    <d v="2024-12-27T00:00:00"/>
    <d v="2025-01-11T00:00:00"/>
    <n v="384"/>
    <n v="354"/>
    <s v="In-Transit"/>
    <x v="583"/>
    <n v="5"/>
    <n v="15"/>
    <n v="0"/>
    <x v="1"/>
  </r>
  <r>
    <s v="PO-1588"/>
    <x v="6"/>
    <x v="4"/>
    <s v="IN-North"/>
    <d v="2024-12-05T00:00:00"/>
    <d v="2024-12-26T00:00:00"/>
    <d v="2024-12-26T00:00:00"/>
    <n v="1726"/>
    <n v="1561"/>
    <s v="Delivered"/>
    <x v="584"/>
    <n v="21"/>
    <n v="0"/>
    <n v="0"/>
    <x v="1"/>
  </r>
  <r>
    <s v="PO-1589"/>
    <x v="3"/>
    <x v="0"/>
    <s v="IN-West"/>
    <d v="2024-12-13T00:00:00"/>
    <d v="2024-12-31T00:00:00"/>
    <d v="2025-01-02T00:00:00"/>
    <n v="1760"/>
    <n v="1607"/>
    <s v="At Risk"/>
    <x v="585"/>
    <n v="18"/>
    <n v="2"/>
    <n v="0"/>
    <x v="2"/>
  </r>
  <r>
    <s v="PO-1590"/>
    <x v="2"/>
    <x v="4"/>
    <s v="APAC"/>
    <d v="2024-12-21T00:00:00"/>
    <d v="2025-01-11T00:00:00"/>
    <d v="2025-01-11T00:00:00"/>
    <n v="1273"/>
    <n v="1177"/>
    <s v="In-Transit"/>
    <x v="586"/>
    <n v="21"/>
    <n v="0"/>
    <n v="0"/>
    <x v="1"/>
  </r>
  <r>
    <s v="PO-1591"/>
    <x v="1"/>
    <x v="0"/>
    <s v="APAC"/>
    <d v="2024-12-11T00:00:00"/>
    <d v="2024-12-29T00:00:00"/>
    <d v="2024-12-28T00:00:00"/>
    <n v="1067"/>
    <n v="918"/>
    <s v="Delivered"/>
    <x v="587"/>
    <n v="18"/>
    <n v="-1"/>
    <n v="0"/>
    <x v="0"/>
  </r>
  <r>
    <s v="PO-1592"/>
    <x v="2"/>
    <x v="0"/>
    <s v="IN-South"/>
    <d v="2024-12-20T00:00:00"/>
    <d v="2025-01-07T00:00:00"/>
    <d v="2025-01-09T00:00:00"/>
    <n v="916"/>
    <n v="880"/>
    <s v="In-Transit"/>
    <x v="588"/>
    <n v="18"/>
    <n v="2"/>
    <n v="0"/>
    <x v="1"/>
  </r>
  <r>
    <s v="PO-1593"/>
    <x v="7"/>
    <x v="1"/>
    <s v="IN-North"/>
    <d v="2024-12-15T00:00:00"/>
    <d v="2024-12-21T00:00:00"/>
    <d v="2024-12-23T00:00:00"/>
    <n v="608"/>
    <n v="588"/>
    <s v="Delivered"/>
    <x v="589"/>
    <n v="6"/>
    <n v="2"/>
    <n v="0"/>
    <x v="2"/>
  </r>
  <r>
    <s v="PO-1594"/>
    <x v="5"/>
    <x v="2"/>
    <s v="IN-West"/>
    <d v="2024-12-24T00:00:00"/>
    <d v="2024-12-31T00:00:00"/>
    <d v="2024-12-31T00:00:00"/>
    <n v="502"/>
    <n v="495"/>
    <s v="Delivered"/>
    <x v="590"/>
    <n v="7"/>
    <n v="0"/>
    <n v="1"/>
    <x v="1"/>
  </r>
  <r>
    <s v="PO-1595"/>
    <x v="6"/>
    <x v="2"/>
    <s v="IN-South"/>
    <d v="2024-12-23T00:00:00"/>
    <d v="2024-12-30T00:00:00"/>
    <d v="2024-12-29T00:00:00"/>
    <n v="246"/>
    <n v="229"/>
    <s v="Delivered"/>
    <x v="591"/>
    <n v="7"/>
    <n v="-1"/>
    <n v="0"/>
    <x v="1"/>
  </r>
  <r>
    <s v="PO-1596"/>
    <x v="2"/>
    <x v="3"/>
    <s v="IN-South"/>
    <d v="2024-12-18T00:00:00"/>
    <d v="2024-12-23T00:00:00"/>
    <d v="2024-12-21T00:00:00"/>
    <n v="1623"/>
    <n v="1574"/>
    <s v="Delivered"/>
    <x v="592"/>
    <n v="5"/>
    <n v="-2"/>
    <n v="1"/>
    <x v="1"/>
  </r>
  <r>
    <s v="PO-1597"/>
    <x v="0"/>
    <x v="4"/>
    <s v="IN-West"/>
    <d v="2024-12-09T00:00:00"/>
    <d v="2024-12-30T00:00:00"/>
    <d v="2024-12-28T00:00:00"/>
    <n v="1816"/>
    <n v="1694"/>
    <s v="Delivered"/>
    <x v="593"/>
    <n v="21"/>
    <n v="-2"/>
    <n v="0"/>
    <x v="0"/>
  </r>
  <r>
    <s v="PO-1598"/>
    <x v="6"/>
    <x v="2"/>
    <s v="APAC"/>
    <d v="2024-12-21T00:00:00"/>
    <d v="2024-12-28T00:00:00"/>
    <d v="2024-12-28T00:00:00"/>
    <n v="755"/>
    <n v="729"/>
    <s v="Delivered"/>
    <x v="594"/>
    <n v="7"/>
    <n v="0"/>
    <n v="1"/>
    <x v="1"/>
  </r>
  <r>
    <s v="PO-1599"/>
    <x v="4"/>
    <x v="2"/>
    <s v="IN-West"/>
    <d v="2024-12-10T00:00:00"/>
    <d v="2024-12-17T00:00:00"/>
    <d v="2024-12-16T00:00:00"/>
    <n v="1241"/>
    <n v="1238"/>
    <s v="Delivered"/>
    <x v="595"/>
    <n v="7"/>
    <n v="-1"/>
    <n v="1"/>
    <x v="2"/>
  </r>
  <r>
    <s v="PO-1600"/>
    <x v="1"/>
    <x v="0"/>
    <s v="APAC"/>
    <d v="2024-12-28T00:00:00"/>
    <d v="2025-01-15T00:00:00"/>
    <d v="2025-01-15T00:00:00"/>
    <n v="1137"/>
    <n v="1027"/>
    <s v="In-Transit"/>
    <x v="596"/>
    <n v="18"/>
    <n v="0"/>
    <n v="0"/>
    <x v="0"/>
  </r>
  <r>
    <s v="PO-1601"/>
    <x v="0"/>
    <x v="2"/>
    <s v="IN-North"/>
    <d v="2024-12-17T00:00:00"/>
    <d v="2024-12-24T00:00:00"/>
    <d v="2024-12-23T00:00:00"/>
    <n v="1724"/>
    <n v="1404"/>
    <s v="Delivered"/>
    <x v="597"/>
    <n v="7"/>
    <n v="-1"/>
    <n v="0"/>
    <x v="0"/>
  </r>
  <r>
    <s v="PO-1602"/>
    <x v="4"/>
    <x v="0"/>
    <s v="IN-South"/>
    <d v="2024-12-21T00:00:00"/>
    <d v="2025-01-08T00:00:00"/>
    <d v="2025-01-08T00:00:00"/>
    <n v="764"/>
    <n v="749"/>
    <s v="In-Transit"/>
    <x v="598"/>
    <n v="18"/>
    <n v="0"/>
    <n v="0"/>
    <x v="2"/>
  </r>
  <r>
    <s v="PO-1603"/>
    <x v="6"/>
    <x v="4"/>
    <s v="IN-West"/>
    <d v="2024-12-18T00:00:00"/>
    <d v="2025-01-08T00:00:00"/>
    <d v="2025-01-07T00:00:00"/>
    <n v="1004"/>
    <n v="969"/>
    <s v="In-Transit"/>
    <x v="599"/>
    <n v="21"/>
    <n v="-1"/>
    <n v="0"/>
    <x v="1"/>
  </r>
  <r>
    <s v="PO-1604"/>
    <x v="1"/>
    <x v="4"/>
    <s v="IN-North"/>
    <d v="2024-12-14T00:00:00"/>
    <d v="2025-01-04T00:00:00"/>
    <d v="2025-01-03T00:00:00"/>
    <n v="839"/>
    <n v="822"/>
    <s v="At Risk"/>
    <x v="600"/>
    <n v="21"/>
    <n v="-1"/>
    <n v="0"/>
    <x v="0"/>
  </r>
  <r>
    <s v="PO-1605"/>
    <x v="4"/>
    <x v="4"/>
    <s v="IN-North"/>
    <d v="2024-12-07T00:00:00"/>
    <d v="2024-12-28T00:00:00"/>
    <d v="2024-12-28T00:00:00"/>
    <n v="1838"/>
    <n v="1691"/>
    <s v="Delivered"/>
    <x v="601"/>
    <n v="21"/>
    <n v="0"/>
    <n v="0"/>
    <x v="2"/>
  </r>
  <r>
    <s v="PO-1606"/>
    <x v="5"/>
    <x v="0"/>
    <s v="IN-North"/>
    <d v="2024-12-14T00:00:00"/>
    <d v="2025-01-01T00:00:00"/>
    <d v="2025-01-01T00:00:00"/>
    <n v="523"/>
    <n v="487"/>
    <s v="At Risk"/>
    <x v="602"/>
    <n v="18"/>
    <n v="0"/>
    <n v="0"/>
    <x v="1"/>
  </r>
  <r>
    <s v="PO-1607"/>
    <x v="1"/>
    <x v="3"/>
    <s v="IN-South"/>
    <d v="2024-12-27T00:00:00"/>
    <d v="2025-01-01T00:00:00"/>
    <d v="2025-01-04T00:00:00"/>
    <n v="1047"/>
    <n v="1038"/>
    <s v="In-Transit"/>
    <x v="603"/>
    <n v="5"/>
    <n v="3"/>
    <n v="0"/>
    <x v="0"/>
  </r>
  <r>
    <s v="PO-1608"/>
    <x v="6"/>
    <x v="4"/>
    <s v="IN-South"/>
    <d v="2024-12-05T00:00:00"/>
    <d v="2024-12-26T00:00:00"/>
    <d v="2024-12-24T00:00:00"/>
    <n v="253"/>
    <n v="246"/>
    <s v="Delivered"/>
    <x v="604"/>
    <n v="21"/>
    <n v="-2"/>
    <n v="1"/>
    <x v="1"/>
  </r>
  <r>
    <s v="PO-1609"/>
    <x v="6"/>
    <x v="1"/>
    <s v="IN-North"/>
    <d v="2024-12-20T00:00:00"/>
    <d v="2024-12-26T00:00:00"/>
    <d v="2024-12-24T00:00:00"/>
    <n v="935"/>
    <n v="848"/>
    <s v="Delivered"/>
    <x v="605"/>
    <n v="6"/>
    <n v="-2"/>
    <n v="0"/>
    <x v="1"/>
  </r>
  <r>
    <s v="PO-1610"/>
    <x v="7"/>
    <x v="3"/>
    <s v="APAC"/>
    <d v="2024-12-23T00:00:00"/>
    <d v="2024-12-28T00:00:00"/>
    <d v="2024-12-27T00:00:00"/>
    <n v="1206"/>
    <n v="1142"/>
    <s v="Delivered"/>
    <x v="606"/>
    <n v="5"/>
    <n v="-1"/>
    <n v="0"/>
    <x v="2"/>
  </r>
  <r>
    <s v="PO-1611"/>
    <x v="5"/>
    <x v="3"/>
    <s v="IN-North"/>
    <d v="2024-12-02T00:00:00"/>
    <d v="2024-12-07T00:00:00"/>
    <d v="2024-12-08T00:00:00"/>
    <n v="752"/>
    <n v="748"/>
    <s v="Delivered"/>
    <x v="607"/>
    <n v="5"/>
    <n v="1"/>
    <n v="0"/>
    <x v="1"/>
  </r>
  <r>
    <s v="PO-1612"/>
    <x v="2"/>
    <x v="3"/>
    <s v="IN-North"/>
    <d v="2024-12-03T00:00:00"/>
    <d v="2024-12-08T00:00:00"/>
    <d v="2024-12-12T00:00:00"/>
    <n v="1975"/>
    <n v="1899"/>
    <s v="Delivered"/>
    <x v="608"/>
    <n v="5"/>
    <n v="4"/>
    <n v="0"/>
    <x v="1"/>
  </r>
  <r>
    <s v="PO-1613"/>
    <x v="4"/>
    <x v="4"/>
    <s v="IN-North"/>
    <d v="2024-12-14T00:00:00"/>
    <d v="2025-01-04T00:00:00"/>
    <d v="2025-01-09T00:00:00"/>
    <n v="1705"/>
    <n v="1675"/>
    <s v="In-Transit"/>
    <x v="609"/>
    <n v="21"/>
    <n v="5"/>
    <n v="0"/>
    <x v="2"/>
  </r>
  <r>
    <s v="PO-1614"/>
    <x v="4"/>
    <x v="4"/>
    <s v="IN-West"/>
    <d v="2024-12-17T00:00:00"/>
    <d v="2025-01-07T00:00:00"/>
    <d v="2025-01-05T00:00:00"/>
    <n v="1997"/>
    <n v="1996"/>
    <s v="In-Transit"/>
    <x v="610"/>
    <n v="21"/>
    <n v="-2"/>
    <n v="0"/>
    <x v="2"/>
  </r>
  <r>
    <s v="PO-1615"/>
    <x v="3"/>
    <x v="2"/>
    <s v="APAC"/>
    <d v="2024-12-17T00:00:00"/>
    <d v="2024-12-24T00:00:00"/>
    <d v="2024-12-23T00:00:00"/>
    <n v="1015"/>
    <n v="1003"/>
    <s v="Delivered"/>
    <x v="611"/>
    <n v="7"/>
    <n v="-1"/>
    <n v="1"/>
    <x v="2"/>
  </r>
  <r>
    <s v="PO-1616"/>
    <x v="6"/>
    <x v="4"/>
    <s v="IN-North"/>
    <d v="2024-12-14T00:00:00"/>
    <d v="2025-01-04T00:00:00"/>
    <d v="2025-01-02T00:00:00"/>
    <n v="1613"/>
    <n v="1535"/>
    <s v="At Risk"/>
    <x v="612"/>
    <n v="21"/>
    <n v="-2"/>
    <n v="0"/>
    <x v="1"/>
  </r>
  <r>
    <s v="PO-1617"/>
    <x v="5"/>
    <x v="4"/>
    <s v="APAC"/>
    <d v="2024-12-03T00:00:00"/>
    <d v="2024-12-24T00:00:00"/>
    <d v="2024-12-24T00:00:00"/>
    <n v="1625"/>
    <n v="1551"/>
    <s v="Delivered"/>
    <x v="613"/>
    <n v="21"/>
    <n v="0"/>
    <n v="1"/>
    <x v="1"/>
  </r>
  <r>
    <s v="PO-1618"/>
    <x v="3"/>
    <x v="4"/>
    <s v="IN-South"/>
    <d v="2024-12-15T00:00:00"/>
    <d v="2025-01-05T00:00:00"/>
    <d v="2025-01-05T00:00:00"/>
    <n v="1659"/>
    <n v="1641"/>
    <s v="In-Transit"/>
    <x v="203"/>
    <n v="21"/>
    <n v="0"/>
    <n v="0"/>
    <x v="2"/>
  </r>
  <r>
    <s v="PO-1619"/>
    <x v="7"/>
    <x v="2"/>
    <s v="IN-South"/>
    <d v="2024-12-11T00:00:00"/>
    <d v="2024-12-18T00:00:00"/>
    <d v="2024-12-19T00:00:00"/>
    <n v="386"/>
    <n v="351"/>
    <s v="Delivered"/>
    <x v="614"/>
    <n v="7"/>
    <n v="1"/>
    <n v="0"/>
    <x v="2"/>
  </r>
  <r>
    <s v="PO-1620"/>
    <x v="7"/>
    <x v="0"/>
    <s v="IN-West"/>
    <d v="2024-12-17T00:00:00"/>
    <d v="2025-01-04T00:00:00"/>
    <d v="2025-01-09T00:00:00"/>
    <n v="1453"/>
    <n v="1445"/>
    <s v="In-Transit"/>
    <x v="615"/>
    <n v="18"/>
    <n v="5"/>
    <n v="0"/>
    <x v="2"/>
  </r>
  <r>
    <s v="PO-1621"/>
    <x v="3"/>
    <x v="1"/>
    <s v="APAC"/>
    <d v="2024-12-02T00:00:00"/>
    <d v="2024-12-08T00:00:00"/>
    <d v="2024-12-13T00:00:00"/>
    <n v="1984"/>
    <n v="1916"/>
    <s v="Delivered"/>
    <x v="616"/>
    <n v="6"/>
    <n v="5"/>
    <n v="0"/>
    <x v="2"/>
  </r>
  <r>
    <s v="PO-1622"/>
    <x v="5"/>
    <x v="3"/>
    <s v="IN-North"/>
    <d v="2024-12-06T00:00:00"/>
    <d v="2024-12-11T00:00:00"/>
    <d v="2024-12-10T00:00:00"/>
    <n v="1695"/>
    <n v="1655"/>
    <s v="Delivered"/>
    <x v="617"/>
    <n v="5"/>
    <n v="-1"/>
    <n v="1"/>
    <x v="1"/>
  </r>
  <r>
    <s v="PO-1623"/>
    <x v="7"/>
    <x v="0"/>
    <s v="IN-North"/>
    <d v="2024-12-04T00:00:00"/>
    <d v="2024-12-22T00:00:00"/>
    <d v="2024-12-29T00:00:00"/>
    <n v="1475"/>
    <n v="1440"/>
    <s v="Delivered"/>
    <x v="618"/>
    <n v="18"/>
    <n v="7"/>
    <n v="0"/>
    <x v="2"/>
  </r>
  <r>
    <s v="PO-1624"/>
    <x v="0"/>
    <x v="4"/>
    <s v="APAC"/>
    <d v="2024-12-28T00:00:00"/>
    <d v="2025-01-18T00:00:00"/>
    <d v="2025-01-16T00:00:00"/>
    <n v="1445"/>
    <n v="1407"/>
    <s v="In-Transit"/>
    <x v="619"/>
    <n v="21"/>
    <n v="-2"/>
    <n v="0"/>
    <x v="0"/>
  </r>
  <r>
    <s v="PO-1625"/>
    <x v="2"/>
    <x v="3"/>
    <s v="APAC"/>
    <d v="2024-12-15T00:00:00"/>
    <d v="2024-12-20T00:00:00"/>
    <d v="2024-12-20T00:00:00"/>
    <n v="1429"/>
    <n v="1287"/>
    <s v="Delivered"/>
    <x v="620"/>
    <n v="5"/>
    <n v="0"/>
    <n v="0"/>
    <x v="1"/>
  </r>
  <r>
    <s v="PO-1626"/>
    <x v="6"/>
    <x v="1"/>
    <s v="IN-North"/>
    <d v="2024-12-02T00:00:00"/>
    <d v="2024-12-08T00:00:00"/>
    <d v="2024-12-08T00:00:00"/>
    <n v="914"/>
    <n v="825"/>
    <s v="Delivered"/>
    <x v="621"/>
    <n v="6"/>
    <n v="0"/>
    <n v="0"/>
    <x v="1"/>
  </r>
  <r>
    <s v="PO-1627"/>
    <x v="0"/>
    <x v="1"/>
    <s v="IN-South"/>
    <d v="2024-12-11T00:00:00"/>
    <d v="2024-12-17T00:00:00"/>
    <d v="2024-12-16T00:00:00"/>
    <n v="565"/>
    <n v="460"/>
    <s v="Delivered"/>
    <x v="622"/>
    <n v="6"/>
    <n v="-1"/>
    <n v="0"/>
    <x v="0"/>
  </r>
  <r>
    <s v="PO-1628"/>
    <x v="6"/>
    <x v="1"/>
    <s v="IN-North"/>
    <d v="2024-12-15T00:00:00"/>
    <d v="2024-12-21T00:00:00"/>
    <d v="2024-12-22T00:00:00"/>
    <n v="1773"/>
    <n v="1648"/>
    <s v="Delivered"/>
    <x v="623"/>
    <n v="6"/>
    <n v="1"/>
    <n v="0"/>
    <x v="1"/>
  </r>
  <r>
    <s v="PO-1629"/>
    <x v="4"/>
    <x v="4"/>
    <s v="IN-West"/>
    <d v="2024-12-25T00:00:00"/>
    <d v="2025-01-15T00:00:00"/>
    <d v="2025-01-16T00:00:00"/>
    <n v="799"/>
    <n v="756"/>
    <s v="In-Transit"/>
    <x v="624"/>
    <n v="21"/>
    <n v="1"/>
    <n v="0"/>
    <x v="2"/>
  </r>
  <r>
    <s v="PO-1630"/>
    <x v="1"/>
    <x v="0"/>
    <s v="IN-South"/>
    <d v="2024-12-17T00:00:00"/>
    <d v="2025-01-04T00:00:00"/>
    <d v="2025-01-04T00:00:00"/>
    <n v="628"/>
    <n v="574"/>
    <s v="In-Transit"/>
    <x v="625"/>
    <n v="18"/>
    <n v="0"/>
    <n v="0"/>
    <x v="0"/>
  </r>
  <r>
    <s v="PO-1631"/>
    <x v="1"/>
    <x v="1"/>
    <s v="IN-West"/>
    <d v="2024-12-16T00:00:00"/>
    <d v="2024-12-22T00:00:00"/>
    <d v="2024-12-21T00:00:00"/>
    <n v="731"/>
    <n v="654"/>
    <s v="Delivered"/>
    <x v="626"/>
    <n v="6"/>
    <n v="-1"/>
    <n v="0"/>
    <x v="0"/>
  </r>
  <r>
    <s v="PO-1632"/>
    <x v="4"/>
    <x v="3"/>
    <s v="APAC"/>
    <d v="2024-12-17T00:00:00"/>
    <d v="2024-12-22T00:00:00"/>
    <d v="2024-12-20T00:00:00"/>
    <n v="1448"/>
    <n v="1336"/>
    <s v="Delivered"/>
    <x v="627"/>
    <n v="5"/>
    <n v="-2"/>
    <n v="0"/>
    <x v="2"/>
  </r>
  <r>
    <s v="PO-1633"/>
    <x v="6"/>
    <x v="3"/>
    <s v="IN-West"/>
    <d v="2024-12-04T00:00:00"/>
    <d v="2024-12-09T00:00:00"/>
    <d v="2024-12-07T00:00:00"/>
    <n v="1710"/>
    <n v="1684"/>
    <s v="Delivered"/>
    <x v="628"/>
    <n v="5"/>
    <n v="-2"/>
    <n v="1"/>
    <x v="1"/>
  </r>
  <r>
    <s v="PO-1634"/>
    <x v="3"/>
    <x v="4"/>
    <s v="IN-West"/>
    <d v="2024-12-11T00:00:00"/>
    <d v="2025-01-01T00:00:00"/>
    <d v="2025-01-01T00:00:00"/>
    <n v="634"/>
    <n v="571"/>
    <s v="At Risk"/>
    <x v="629"/>
    <n v="21"/>
    <n v="0"/>
    <n v="0"/>
    <x v="2"/>
  </r>
  <r>
    <s v="PO-1635"/>
    <x v="2"/>
    <x v="0"/>
    <s v="IN-South"/>
    <d v="2024-12-26T00:00:00"/>
    <d v="2025-01-13T00:00:00"/>
    <d v="2025-01-13T00:00:00"/>
    <n v="1326"/>
    <n v="1236"/>
    <s v="In-Transit"/>
    <x v="630"/>
    <n v="18"/>
    <n v="0"/>
    <n v="0"/>
    <x v="1"/>
  </r>
  <r>
    <s v="PO-1636"/>
    <x v="0"/>
    <x v="2"/>
    <s v="IN-South"/>
    <d v="2024-12-11T00:00:00"/>
    <d v="2024-12-18T00:00:00"/>
    <d v="2024-12-23T00:00:00"/>
    <n v="259"/>
    <n v="249"/>
    <s v="Delivered"/>
    <x v="631"/>
    <n v="7"/>
    <n v="5"/>
    <n v="0"/>
    <x v="0"/>
  </r>
  <r>
    <s v="PO-1637"/>
    <x v="2"/>
    <x v="0"/>
    <s v="IN-South"/>
    <d v="2024-12-22T00:00:00"/>
    <d v="2025-01-09T00:00:00"/>
    <d v="2025-01-10T00:00:00"/>
    <n v="1522"/>
    <n v="1390"/>
    <s v="In-Transit"/>
    <x v="632"/>
    <n v="18"/>
    <n v="1"/>
    <n v="0"/>
    <x v="1"/>
  </r>
  <r>
    <s v="PO-1638"/>
    <x v="5"/>
    <x v="4"/>
    <s v="IN-South"/>
    <d v="2024-12-15T00:00:00"/>
    <d v="2025-01-05T00:00:00"/>
    <d v="2025-01-06T00:00:00"/>
    <n v="1910"/>
    <n v="1818"/>
    <s v="In-Transit"/>
    <x v="633"/>
    <n v="21"/>
    <n v="1"/>
    <n v="0"/>
    <x v="1"/>
  </r>
  <r>
    <s v="PO-1639"/>
    <x v="4"/>
    <x v="1"/>
    <s v="IN-West"/>
    <d v="2024-12-07T00:00:00"/>
    <d v="2024-12-13T00:00:00"/>
    <d v="2024-12-16T00:00:00"/>
    <n v="335"/>
    <n v="333"/>
    <s v="Delivered"/>
    <x v="634"/>
    <n v="6"/>
    <n v="3"/>
    <n v="0"/>
    <x v="2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A4296250-7020-40A6-8B49-F1018F8437FC}" name="PivotTable4" cacheId="0" applyNumberFormats="0" applyBorderFormats="0" applyFontFormats="0" applyPatternFormats="0" applyAlignmentFormats="0" applyWidthHeightFormats="1" dataCaption="Values" updatedVersion="8" minRefreshableVersion="3" itemPrintTitles="1" createdVersion="8" indent="0" outline="1" outlineData="1" multipleFieldFilters="0">
  <location ref="A3:C9" firstHeaderRow="0" firstDataRow="1" firstDataCol="1"/>
  <pivotFields count="15">
    <pivotField dataField="1" showAll="0"/>
    <pivotField showAll="0"/>
    <pivotField axis="axisRow" showAll="0">
      <items count="6">
        <item x="2"/>
        <item x="3"/>
        <item x="0"/>
        <item x="4"/>
        <item x="1"/>
        <item t="default"/>
      </items>
    </pivotField>
    <pivotField showAll="0"/>
    <pivotField numFmtId="164" showAll="0"/>
    <pivotField numFmtId="14" showAll="0"/>
    <pivotField numFmtId="14" showAll="0"/>
    <pivotField showAll="0"/>
    <pivotField showAll="0"/>
    <pivotField showAll="0"/>
    <pivotField showAll="0"/>
    <pivotField showAll="0"/>
    <pivotField showAll="0"/>
    <pivotField dataField="1" showAll="0"/>
    <pivotField showAll="0">
      <items count="4">
        <item x="2"/>
        <item x="0"/>
        <item x="1"/>
        <item t="default"/>
      </items>
    </pivotField>
  </pivotFields>
  <rowFields count="1">
    <field x="2"/>
  </rowFields>
  <rowItems count="6">
    <i>
      <x/>
    </i>
    <i>
      <x v="1"/>
    </i>
    <i>
      <x v="2"/>
    </i>
    <i>
      <x v="3"/>
    </i>
    <i>
      <x v="4"/>
    </i>
    <i t="grand">
      <x/>
    </i>
  </rowItems>
  <colFields count="1">
    <field x="-2"/>
  </colFields>
  <colItems count="2">
    <i>
      <x/>
    </i>
    <i i="1">
      <x v="1"/>
    </i>
  </colItems>
  <dataFields count="2">
    <dataField name="Sum of OTiF Flag" fld="13" baseField="0" baseItem="0"/>
    <dataField name="Count of Order ID" fld="0" subtotal="count" baseField="0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F2B185E2-504F-44D3-948D-8AC4B0861172}" name="PivotTable5" cacheId="0" applyNumberFormats="0" applyBorderFormats="0" applyFontFormats="0" applyPatternFormats="0" applyAlignmentFormats="0" applyWidthHeightFormats="1" dataCaption="Values" updatedVersion="8" minRefreshableVersion="3" useAutoFormatting="1" rowGrandTotals="0" colGrandTotals="0" itemPrintTitles="1" createdVersion="8" indent="0" outline="1" outlineData="1" multipleFieldFilters="0">
  <location ref="A3:C6" firstHeaderRow="0" firstDataRow="1" firstDataCol="1"/>
  <pivotFields count="15">
    <pivotField showAll="0"/>
    <pivotField showAll="0">
      <items count="9">
        <item x="0"/>
        <item x="1"/>
        <item x="5"/>
        <item x="2"/>
        <item x="6"/>
        <item x="4"/>
        <item x="3"/>
        <item x="7"/>
        <item t="default"/>
      </items>
    </pivotField>
    <pivotField showAll="0"/>
    <pivotField showAll="0"/>
    <pivotField numFmtId="164" showAll="0"/>
    <pivotField numFmtId="14" showAll="0"/>
    <pivotField numFmtId="14" showAll="0"/>
    <pivotField dataField="1" showAll="0"/>
    <pivotField dataField="1" showAll="0"/>
    <pivotField showAll="0"/>
    <pivotField showAll="0">
      <items count="636">
        <item x="296"/>
        <item x="500"/>
        <item x="549"/>
        <item x="30"/>
        <item x="537"/>
        <item x="61"/>
        <item x="12"/>
        <item x="333"/>
        <item x="474"/>
        <item x="566"/>
        <item x="36"/>
        <item x="304"/>
        <item x="31"/>
        <item x="57"/>
        <item x="18"/>
        <item x="327"/>
        <item x="372"/>
        <item x="74"/>
        <item x="622"/>
        <item x="554"/>
        <item x="597"/>
        <item x="25"/>
        <item x="166"/>
        <item x="55"/>
        <item x="37"/>
        <item x="344"/>
        <item x="227"/>
        <item x="27"/>
        <item x="544"/>
        <item x="571"/>
        <item x="545"/>
        <item x="192"/>
        <item x="465"/>
        <item x="409"/>
        <item x="255"/>
        <item x="330"/>
        <item x="334"/>
        <item x="404"/>
        <item x="331"/>
        <item x="151"/>
        <item x="437"/>
        <item x="258"/>
        <item x="52"/>
        <item x="155"/>
        <item x="66"/>
        <item x="217"/>
        <item x="262"/>
        <item x="580"/>
        <item x="47"/>
        <item x="199"/>
        <item x="501"/>
        <item x="587"/>
        <item x="271"/>
        <item x="181"/>
        <item x="341"/>
        <item x="387"/>
        <item x="63"/>
        <item x="102"/>
        <item x="442"/>
        <item x="390"/>
        <item x="146"/>
        <item x="315"/>
        <item x="466"/>
        <item x="131"/>
        <item x="563"/>
        <item x="553"/>
        <item x="238"/>
        <item x="249"/>
        <item x="396"/>
        <item x="80"/>
        <item x="277"/>
        <item x="490"/>
        <item x="559"/>
        <item x="347"/>
        <item x="310"/>
        <item x="385"/>
        <item x="156"/>
        <item x="103"/>
        <item x="472"/>
        <item x="99"/>
        <item x="337"/>
        <item x="626"/>
        <item x="441"/>
        <item x="4"/>
        <item x="471"/>
        <item x="514"/>
        <item x="48"/>
        <item x="374"/>
        <item x="288"/>
        <item x="201"/>
        <item x="620"/>
        <item x="629"/>
        <item x="420"/>
        <item x="40"/>
        <item x="272"/>
        <item x="485"/>
        <item x="451"/>
        <item x="127"/>
        <item x="311"/>
        <item x="218"/>
        <item x="621"/>
        <item x="87"/>
        <item x="362"/>
        <item x="596"/>
        <item x="5"/>
        <item x="426"/>
        <item x="353"/>
        <item x="386"/>
        <item x="378"/>
        <item x="548"/>
        <item x="212"/>
        <item x="584"/>
        <item x="529"/>
        <item x="354"/>
        <item x="457"/>
        <item x="434"/>
        <item x="169"/>
        <item x="439"/>
        <item x="132"/>
        <item x="360"/>
        <item x="349"/>
        <item x="207"/>
        <item x="9"/>
        <item x="579"/>
        <item x="511"/>
        <item x="458"/>
        <item x="605"/>
        <item x="3"/>
        <item x="287"/>
        <item x="456"/>
        <item x="195"/>
        <item x="167"/>
        <item x="379"/>
        <item x="129"/>
        <item x="363"/>
        <item x="256"/>
        <item x="614"/>
        <item x="384"/>
        <item x="355"/>
        <item x="284"/>
        <item x="513"/>
        <item x="340"/>
        <item x="377"/>
        <item x="495"/>
        <item x="81"/>
        <item x="69"/>
        <item x="243"/>
        <item x="291"/>
        <item x="1"/>
        <item x="193"/>
        <item x="415"/>
        <item x="20"/>
        <item x="49"/>
        <item x="150"/>
        <item x="469"/>
        <item x="512"/>
        <item x="172"/>
        <item x="122"/>
        <item x="326"/>
        <item x="585"/>
        <item x="468"/>
        <item x="289"/>
        <item x="632"/>
        <item x="575"/>
        <item x="329"/>
        <item x="411"/>
        <item x="269"/>
        <item x="625"/>
        <item x="260"/>
        <item x="358"/>
        <item x="282"/>
        <item x="351"/>
        <item x="335"/>
        <item x="224"/>
        <item x="433"/>
        <item x="198"/>
        <item x="488"/>
        <item x="188"/>
        <item x="275"/>
        <item x="85"/>
        <item x="281"/>
        <item x="463"/>
        <item x="86"/>
        <item x="406"/>
        <item x="104"/>
        <item x="462"/>
        <item x="112"/>
        <item x="479"/>
        <item x="531"/>
        <item x="54"/>
        <item x="163"/>
        <item x="247"/>
        <item x="601"/>
        <item x="525"/>
        <item x="417"/>
        <item x="41"/>
        <item x="292"/>
        <item x="89"/>
        <item x="257"/>
        <item x="154"/>
        <item x="583"/>
        <item x="455"/>
        <item x="148"/>
        <item x="268"/>
        <item x="73"/>
        <item x="301"/>
        <item x="627"/>
        <item x="78"/>
        <item x="233"/>
        <item x="364"/>
        <item x="551"/>
        <item x="484"/>
        <item x="216"/>
        <item x="147"/>
        <item x="586"/>
        <item x="536"/>
        <item x="273"/>
        <item x="574"/>
        <item x="293"/>
        <item x="461"/>
        <item x="266"/>
        <item x="577"/>
        <item x="24"/>
        <item x="22"/>
        <item x="137"/>
        <item x="34"/>
        <item x="75"/>
        <item x="286"/>
        <item x="283"/>
        <item x="547"/>
        <item x="82"/>
        <item x="392"/>
        <item x="556"/>
        <item x="191"/>
        <item x="38"/>
        <item x="219"/>
        <item x="231"/>
        <item x="359"/>
        <item x="543"/>
        <item x="403"/>
        <item x="290"/>
        <item x="213"/>
        <item x="380"/>
        <item x="274"/>
        <item x="204"/>
        <item x="449"/>
        <item x="534"/>
        <item x="623"/>
        <item x="33"/>
        <item x="128"/>
        <item x="139"/>
        <item x="209"/>
        <item x="35"/>
        <item x="542"/>
        <item x="196"/>
        <item x="365"/>
        <item x="352"/>
        <item x="582"/>
        <item x="591"/>
        <item x="557"/>
        <item x="517"/>
        <item x="602"/>
        <item x="90"/>
        <item x="630"/>
        <item x="175"/>
        <item x="265"/>
        <item x="60"/>
        <item x="459"/>
        <item x="279"/>
        <item x="106"/>
        <item x="593"/>
        <item x="305"/>
        <item x="509"/>
        <item x="223"/>
        <item x="398"/>
        <item x="558"/>
        <item x="348"/>
        <item x="39"/>
        <item x="328"/>
        <item x="478"/>
        <item x="373"/>
        <item x="140"/>
        <item x="532"/>
        <item x="368"/>
        <item x="244"/>
        <item x="319"/>
        <item x="486"/>
        <item x="470"/>
        <item x="489"/>
        <item x="560"/>
        <item x="421"/>
        <item x="454"/>
        <item x="107"/>
        <item x="552"/>
        <item x="64"/>
        <item x="481"/>
        <item x="161"/>
        <item x="521"/>
        <item x="430"/>
        <item x="45"/>
        <item x="220"/>
        <item x="391"/>
        <item x="487"/>
        <item x="419"/>
        <item x="23"/>
        <item x="97"/>
        <item x="236"/>
        <item x="214"/>
        <item x="245"/>
        <item x="143"/>
        <item x="187"/>
        <item x="445"/>
        <item x="58"/>
        <item x="413"/>
        <item x="412"/>
        <item x="159"/>
        <item x="93"/>
        <item x="6"/>
        <item x="242"/>
        <item x="202"/>
        <item x="416"/>
        <item x="440"/>
        <item x="91"/>
        <item x="339"/>
        <item x="309"/>
        <item x="400"/>
        <item x="336"/>
        <item x="467"/>
        <item x="443"/>
        <item x="381"/>
        <item x="322"/>
        <item x="515"/>
        <item x="100"/>
        <item x="624"/>
        <item x="44"/>
        <item x="606"/>
        <item x="540"/>
        <item x="221"/>
        <item x="450"/>
        <item x="447"/>
        <item x="366"/>
        <item x="200"/>
        <item x="118"/>
        <item x="318"/>
        <item x="503"/>
        <item x="101"/>
        <item x="480"/>
        <item x="568"/>
        <item x="435"/>
        <item x="561"/>
        <item x="508"/>
        <item x="11"/>
        <item x="109"/>
        <item x="492"/>
        <item x="422"/>
        <item x="153"/>
        <item x="539"/>
        <item x="307"/>
        <item x="312"/>
        <item x="186"/>
        <item x="394"/>
        <item x="612"/>
        <item x="325"/>
        <item x="633"/>
        <item x="32"/>
        <item x="228"/>
        <item x="320"/>
        <item x="528"/>
        <item x="308"/>
        <item x="294"/>
        <item x="111"/>
        <item x="524"/>
        <item x="51"/>
        <item x="613"/>
        <item x="113"/>
        <item x="321"/>
        <item x="562"/>
        <item x="16"/>
        <item x="8"/>
        <item x="50"/>
        <item x="530"/>
        <item x="267"/>
        <item x="550"/>
        <item x="527"/>
        <item x="17"/>
        <item x="476"/>
        <item x="491"/>
        <item x="424"/>
        <item x="248"/>
        <item x="250"/>
        <item x="535"/>
        <item x="145"/>
        <item x="316"/>
        <item x="332"/>
        <item x="206"/>
        <item x="138"/>
        <item x="569"/>
        <item x="581"/>
        <item x="493"/>
        <item x="448"/>
        <item x="280"/>
        <item x="176"/>
        <item x="168"/>
        <item x="588"/>
        <item x="453"/>
        <item x="631"/>
        <item x="608"/>
        <item x="497"/>
        <item x="134"/>
        <item x="110"/>
        <item x="180"/>
        <item x="165"/>
        <item x="533"/>
        <item x="189"/>
        <item x="313"/>
        <item x="141"/>
        <item x="295"/>
        <item x="117"/>
        <item x="185"/>
        <item x="565"/>
        <item x="210"/>
        <item x="15"/>
        <item x="133"/>
        <item x="482"/>
        <item x="253"/>
        <item x="425"/>
        <item x="323"/>
        <item x="523"/>
        <item x="7"/>
        <item x="432"/>
        <item x="520"/>
        <item x="599"/>
        <item x="306"/>
        <item x="573"/>
        <item x="53"/>
        <item x="460"/>
        <item x="170"/>
        <item x="594"/>
        <item x="407"/>
        <item x="616"/>
        <item x="65"/>
        <item x="76"/>
        <item x="270"/>
        <item x="126"/>
        <item x="241"/>
        <item x="572"/>
        <item x="152"/>
        <item x="43"/>
        <item x="397"/>
        <item x="444"/>
        <item x="589"/>
        <item x="177"/>
        <item x="410"/>
        <item x="114"/>
        <item x="356"/>
        <item x="234"/>
        <item x="423"/>
        <item x="72"/>
        <item x="526"/>
        <item x="21"/>
        <item x="464"/>
        <item x="452"/>
        <item x="522"/>
        <item x="297"/>
        <item x="505"/>
        <item x="83"/>
        <item x="567"/>
        <item x="171"/>
        <item x="388"/>
        <item x="592"/>
        <item x="136"/>
        <item x="179"/>
        <item x="507"/>
        <item x="405"/>
        <item x="182"/>
        <item x="263"/>
        <item x="70"/>
        <item x="299"/>
        <item x="13"/>
        <item x="239"/>
        <item x="121"/>
        <item x="564"/>
        <item x="324"/>
        <item x="370"/>
        <item x="604"/>
        <item x="19"/>
        <item x="504"/>
        <item x="215"/>
        <item x="29"/>
        <item x="477"/>
        <item x="518"/>
        <item x="619"/>
        <item x="382"/>
        <item x="303"/>
        <item x="555"/>
        <item x="10"/>
        <item x="541"/>
        <item x="162"/>
        <item x="68"/>
        <item x="240"/>
        <item x="0"/>
        <item x="546"/>
        <item x="149"/>
        <item x="499"/>
        <item x="618"/>
        <item x="617"/>
        <item x="59"/>
        <item x="174"/>
        <item x="494"/>
        <item x="519"/>
        <item x="395"/>
        <item x="160"/>
        <item x="345"/>
        <item x="361"/>
        <item x="510"/>
        <item x="190"/>
        <item x="285"/>
        <item x="246"/>
        <item x="28"/>
        <item x="357"/>
        <item x="79"/>
        <item x="516"/>
        <item x="205"/>
        <item x="418"/>
        <item x="164"/>
        <item x="77"/>
        <item x="473"/>
        <item x="600"/>
        <item x="261"/>
        <item x="300"/>
        <item x="438"/>
        <item x="2"/>
        <item x="26"/>
        <item x="343"/>
        <item x="598"/>
        <item x="96"/>
        <item x="446"/>
        <item x="178"/>
        <item x="225"/>
        <item x="105"/>
        <item x="428"/>
        <item x="436"/>
        <item x="427"/>
        <item x="402"/>
        <item x="576"/>
        <item x="393"/>
        <item x="609"/>
        <item x="144"/>
        <item x="120"/>
        <item x="183"/>
        <item x="375"/>
        <item x="506"/>
        <item x="414"/>
        <item x="350"/>
        <item x="254"/>
        <item x="67"/>
        <item x="346"/>
        <item x="383"/>
        <item x="142"/>
        <item x="367"/>
        <item x="429"/>
        <item x="431"/>
        <item x="628"/>
        <item x="371"/>
        <item x="88"/>
        <item x="42"/>
        <item x="56"/>
        <item x="94"/>
        <item x="95"/>
        <item x="590"/>
        <item x="157"/>
        <item x="116"/>
        <item x="314"/>
        <item x="229"/>
        <item x="124"/>
        <item x="84"/>
        <item x="208"/>
        <item x="483"/>
        <item x="14"/>
        <item x="302"/>
        <item x="173"/>
        <item x="259"/>
        <item x="611"/>
        <item x="369"/>
        <item x="475"/>
        <item x="130"/>
        <item x="203"/>
        <item x="135"/>
        <item x="496"/>
        <item x="338"/>
        <item x="408"/>
        <item x="62"/>
        <item x="92"/>
        <item x="71"/>
        <item x="115"/>
        <item x="578"/>
        <item x="278"/>
        <item x="603"/>
        <item x="342"/>
        <item x="252"/>
        <item x="232"/>
        <item x="237"/>
        <item x="498"/>
        <item x="538"/>
        <item x="46"/>
        <item x="222"/>
        <item x="211"/>
        <item x="298"/>
        <item x="230"/>
        <item x="184"/>
        <item x="634"/>
        <item x="98"/>
        <item x="615"/>
        <item x="376"/>
        <item x="607"/>
        <item x="264"/>
        <item x="570"/>
        <item x="125"/>
        <item x="158"/>
        <item x="119"/>
        <item x="235"/>
        <item x="389"/>
        <item x="399"/>
        <item x="401"/>
        <item x="194"/>
        <item x="226"/>
        <item x="317"/>
        <item x="123"/>
        <item x="276"/>
        <item x="595"/>
        <item x="108"/>
        <item x="502"/>
        <item x="251"/>
        <item x="197"/>
        <item x="610"/>
        <item t="default"/>
      </items>
    </pivotField>
    <pivotField showAll="0"/>
    <pivotField showAll="0"/>
    <pivotField showAll="0"/>
    <pivotField axis="axisRow" showAll="0">
      <items count="4">
        <item x="2"/>
        <item x="0"/>
        <item x="1"/>
        <item t="default"/>
      </items>
    </pivotField>
  </pivotFields>
  <rowFields count="1">
    <field x="14"/>
  </rowFields>
  <rowItems count="3">
    <i>
      <x/>
    </i>
    <i>
      <x v="1"/>
    </i>
    <i>
      <x v="2"/>
    </i>
  </rowItems>
  <colFields count="1">
    <field x="-2"/>
  </colFields>
  <colItems count="2">
    <i>
      <x/>
    </i>
    <i i="1">
      <x v="1"/>
    </i>
  </colItems>
  <dataFields count="2">
    <dataField name="Sum of Ordered Qty" fld="7" baseField="0" baseItem="0"/>
    <dataField name="Sum of Delivered Qty" fld="8" baseField="0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5834B989-FD36-4734-890B-290A2BE1C6F6}" name="Table1" displayName="Table1" ref="A1:O641" totalsRowShown="0" headerRowDxfId="16" tableBorderDxfId="15">
  <autoFilter ref="A1:O641" xr:uid="{5834B989-FD36-4734-890B-290A2BE1C6F6}"/>
  <tableColumns count="15">
    <tableColumn id="1" xr3:uid="{158D747A-70F8-464F-8C6C-3615D24019B2}" name="Order ID" dataDxfId="14"/>
    <tableColumn id="2" xr3:uid="{182A3DD3-90AA-4C7B-B4BA-809CAF5AAB9A}" name="SKU ID" dataDxfId="13"/>
    <tableColumn id="3" xr3:uid="{83ACB628-9718-420E-B4F9-EEB3283102E5}" name="Supplier ID" dataDxfId="12"/>
    <tableColumn id="4" xr3:uid="{1181E1A1-6B53-449E-9BA4-B5D02CF9C83C}" name="Region" dataDxfId="11"/>
    <tableColumn id="5" xr3:uid="{EB74B64B-241A-4A29-B024-038B4C5860E6}" name="Order Date" dataDxfId="10"/>
    <tableColumn id="6" xr3:uid="{86ECE33A-59FE-4582-8572-CB9EF3131123}" name="Promised Delivery" dataDxfId="9"/>
    <tableColumn id="7" xr3:uid="{A609DE40-3769-4B15-8B9F-79519891A965}" name="Actual Delivery" dataDxfId="8"/>
    <tableColumn id="8" xr3:uid="{FFDD948C-FBE9-4C81-A6B7-4D0E9875D30E}" name="Ordered Qty" dataDxfId="7"/>
    <tableColumn id="9" xr3:uid="{D06F5135-D540-41D4-8111-591D13C6E73B}" name="Delivered Qty" dataDxfId="6"/>
    <tableColumn id="10" xr3:uid="{D283075A-0AC0-4A2D-9E5D-8817719772C0}" name="Status" dataDxfId="5"/>
    <tableColumn id="11" xr3:uid="{48293855-7972-43B9-9288-E593E932E3AA}" name="FillRate"/>
    <tableColumn id="12" xr3:uid="{2DACC590-6D1C-4643-9FB6-83C72905050B}" name="std Lead time">
      <calculatedColumnFormula>VLOOKUP(Table1[[#This Row],[Supplier ID]],Suppliers!$A$2:$D$6,4,FALSE)</calculatedColumnFormula>
    </tableColumn>
    <tableColumn id="13" xr3:uid="{AE8FC300-9010-415F-A254-4BF956B416F7}" name="LT Variance"/>
    <tableColumn id="14" xr3:uid="{A6A1C188-89E5-427B-AE81-2913F031BEFA}" name="OTiF Flag">
      <calculatedColumnFormula>IF(AND(Table1[[#This Row],[Status]] = "Delivered", Table1[[#This Row],[Actual Delivery]] &lt;= Table1[[#This Row],[Promised Delivery]],Table1[[#This Row],[FillRate]]&gt;=0.95),1,0)</calculatedColumnFormula>
    </tableColumn>
    <tableColumn id="15" xr3:uid="{7D52B13B-CE72-4317-B678-39A219D89560}" name="Categories">
      <calculatedColumnFormula>VLOOKUP(B2,Products!$A$2:$D$9,3,FALSE)</calculatedColumnFormula>
    </tableColumn>
  </tableColumns>
  <tableStyleInfo name="TableStyleMedium2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D5B5C871-33F9-4B85-A698-9822C9940F4F}" name="Table2" displayName="Table2" ref="A5:B12" totalsRowShown="0">
  <autoFilter ref="A5:B12" xr:uid="{D5B5C871-33F9-4B85-A698-9822C9940F4F}"/>
  <tableColumns count="2">
    <tableColumn id="1" xr3:uid="{70A20BD8-A1D3-42C8-8FC0-AD0B0776C189}" name="KPI"/>
    <tableColumn id="2" xr3:uid="{C60E7B1B-E8A8-491F-BF13-9533636522F8}" name="Value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mbria"/>
        <a:ea typeface=""/>
        <a:cs typeface=""/>
      </a:majorFont>
      <a:minorFont>
        <a:latin typeface="Calibri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2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7.xml.rels><?xml version="1.0" encoding="UTF-8" standalone="yes"?>
<Relationships xmlns="http://schemas.openxmlformats.org/package/2006/relationships"><Relationship Id="rId2" Type="http://schemas.openxmlformats.org/officeDocument/2006/relationships/table" Target="../tables/table2.xml"/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69E37ED-4546-409F-83D3-295CA219757B}">
  <dimension ref="A3:D9"/>
  <sheetViews>
    <sheetView workbookViewId="0">
      <selection activeCell="A12" sqref="A12"/>
    </sheetView>
  </sheetViews>
  <sheetFormatPr defaultRowHeight="15" x14ac:dyDescent="0.25"/>
  <cols>
    <col min="1" max="1" width="13.140625" bestFit="1" customWidth="1"/>
    <col min="2" max="2" width="15.7109375" bestFit="1" customWidth="1"/>
    <col min="3" max="3" width="16.5703125" bestFit="1" customWidth="1"/>
    <col min="4" max="4" width="25.42578125" customWidth="1"/>
  </cols>
  <sheetData>
    <row r="3" spans="1:4" x14ac:dyDescent="0.25">
      <c r="A3" s="17" t="s">
        <v>710</v>
      </c>
      <c r="B3" t="s">
        <v>714</v>
      </c>
      <c r="C3" t="s">
        <v>711</v>
      </c>
      <c r="D3" t="s">
        <v>715</v>
      </c>
    </row>
    <row r="4" spans="1:4" x14ac:dyDescent="0.25">
      <c r="A4" s="18" t="s">
        <v>26</v>
      </c>
      <c r="B4">
        <v>39</v>
      </c>
      <c r="C4">
        <v>125</v>
      </c>
      <c r="D4">
        <f>B4 / C4 *100</f>
        <v>31.2</v>
      </c>
    </row>
    <row r="5" spans="1:4" x14ac:dyDescent="0.25">
      <c r="A5" s="18" t="s">
        <v>31</v>
      </c>
      <c r="B5">
        <v>40</v>
      </c>
      <c r="C5">
        <v>125</v>
      </c>
      <c r="D5">
        <f t="shared" ref="D5:D7" si="0">B5 / C5 *100</f>
        <v>32</v>
      </c>
    </row>
    <row r="6" spans="1:4" x14ac:dyDescent="0.25">
      <c r="A6" s="18" t="s">
        <v>12</v>
      </c>
      <c r="B6">
        <v>37</v>
      </c>
      <c r="C6">
        <v>119</v>
      </c>
      <c r="D6">
        <f t="shared" si="0"/>
        <v>31.092436974789916</v>
      </c>
    </row>
    <row r="7" spans="1:4" x14ac:dyDescent="0.25">
      <c r="A7" s="18" t="s">
        <v>57</v>
      </c>
      <c r="B7">
        <v>43</v>
      </c>
      <c r="C7">
        <v>136</v>
      </c>
      <c r="D7">
        <f t="shared" si="0"/>
        <v>31.617647058823529</v>
      </c>
    </row>
    <row r="8" spans="1:4" x14ac:dyDescent="0.25">
      <c r="A8" s="18" t="s">
        <v>17</v>
      </c>
      <c r="B8">
        <v>37</v>
      </c>
      <c r="C8">
        <v>135</v>
      </c>
      <c r="D8">
        <f>B8 / C8 *100</f>
        <v>27.407407407407408</v>
      </c>
    </row>
    <row r="9" spans="1:4" x14ac:dyDescent="0.25">
      <c r="A9" s="18" t="s">
        <v>709</v>
      </c>
      <c r="B9">
        <v>196</v>
      </c>
      <c r="C9">
        <v>640</v>
      </c>
    </row>
  </sheetData>
  <conditionalFormatting sqref="D4:D8">
    <cfRule type="top10" dxfId="4" priority="1" bottom="1" rank="1"/>
    <cfRule type="expression" dxfId="3" priority="2">
      <formula>"MIN($A$4:$$8)"</formula>
    </cfRule>
    <cfRule type="expression" dxfId="2" priority="5">
      <formula>MIN(A4:A8)</formula>
    </cfRule>
  </conditionalFormatting>
  <conditionalFormatting sqref="D8">
    <cfRule type="expression" dxfId="1" priority="4">
      <formula>MIN($A$4:$A$8)</formula>
    </cfRule>
  </conditionalFormatting>
  <pageMargins left="0.7" right="0.7" top="0.75" bottom="0.75" header="0.3" footer="0.3"/>
  <pageSetup paperSize="0" orientation="portrait" horizontalDpi="0" verticalDpi="0" copies="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8D65C33-4851-414C-B9E6-984682761CCA}">
  <dimension ref="A3:D6"/>
  <sheetViews>
    <sheetView workbookViewId="0">
      <selection activeCell="G13" sqref="G13"/>
    </sheetView>
  </sheetViews>
  <sheetFormatPr defaultRowHeight="15" x14ac:dyDescent="0.25"/>
  <cols>
    <col min="1" max="1" width="14.7109375" bestFit="1" customWidth="1"/>
    <col min="2" max="2" width="18.85546875" bestFit="1" customWidth="1"/>
    <col min="3" max="3" width="20.140625" bestFit="1" customWidth="1"/>
    <col min="4" max="4" width="18.85546875" bestFit="1" customWidth="1"/>
    <col min="5" max="5" width="20.140625" bestFit="1" customWidth="1"/>
    <col min="6" max="6" width="18.85546875" bestFit="1" customWidth="1"/>
    <col min="7" max="7" width="20.140625" bestFit="1" customWidth="1"/>
    <col min="8" max="8" width="18.85546875" bestFit="1" customWidth="1"/>
    <col min="9" max="9" width="20.140625" bestFit="1" customWidth="1"/>
    <col min="10" max="10" width="18.85546875" bestFit="1" customWidth="1"/>
    <col min="11" max="11" width="20.140625" bestFit="1" customWidth="1"/>
    <col min="12" max="12" width="18.85546875" bestFit="1" customWidth="1"/>
    <col min="13" max="13" width="20.140625" bestFit="1" customWidth="1"/>
    <col min="14" max="14" width="18.85546875" bestFit="1" customWidth="1"/>
    <col min="15" max="15" width="20.140625" bestFit="1" customWidth="1"/>
    <col min="16" max="16" width="18.85546875" bestFit="1" customWidth="1"/>
    <col min="17" max="18" width="20.140625" bestFit="1" customWidth="1"/>
    <col min="19" max="19" width="16.5703125" bestFit="1" customWidth="1"/>
    <col min="20" max="20" width="14.42578125" bestFit="1" customWidth="1"/>
    <col min="21" max="21" width="20.140625" bestFit="1" customWidth="1"/>
    <col min="22" max="22" width="16.5703125" bestFit="1" customWidth="1"/>
    <col min="23" max="23" width="14.42578125" bestFit="1" customWidth="1"/>
    <col min="24" max="24" width="20.140625" bestFit="1" customWidth="1"/>
    <col min="25" max="25" width="16.5703125" bestFit="1" customWidth="1"/>
  </cols>
  <sheetData>
    <row r="3" spans="1:4" x14ac:dyDescent="0.25">
      <c r="A3" s="17" t="s">
        <v>710</v>
      </c>
      <c r="B3" t="s">
        <v>718</v>
      </c>
      <c r="C3" t="s">
        <v>717</v>
      </c>
    </row>
    <row r="4" spans="1:4" x14ac:dyDescent="0.25">
      <c r="A4" s="18" t="s">
        <v>684</v>
      </c>
      <c r="B4">
        <v>250877</v>
      </c>
      <c r="C4">
        <v>238573</v>
      </c>
      <c r="D4">
        <f>C4/B4 *100</f>
        <v>95.09560461899656</v>
      </c>
    </row>
    <row r="5" spans="1:4" x14ac:dyDescent="0.25">
      <c r="A5" s="18" t="s">
        <v>677</v>
      </c>
      <c r="B5">
        <v>182921</v>
      </c>
      <c r="C5">
        <v>162892</v>
      </c>
      <c r="D5">
        <f t="shared" ref="D5:D6" si="0">C5/B5 *100</f>
        <v>89.05046440813247</v>
      </c>
    </row>
    <row r="6" spans="1:4" x14ac:dyDescent="0.25">
      <c r="A6" s="18" t="s">
        <v>680</v>
      </c>
      <c r="B6">
        <v>286080</v>
      </c>
      <c r="C6">
        <v>272546</v>
      </c>
      <c r="D6">
        <f t="shared" si="0"/>
        <v>95.269155480984338</v>
      </c>
    </row>
  </sheetData>
  <conditionalFormatting sqref="D4:D6">
    <cfRule type="top10" dxfId="0" priority="1" bottom="1" rank="1"/>
  </conditionalFormatting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O641"/>
  <sheetViews>
    <sheetView topLeftCell="B1" zoomScaleNormal="100" workbookViewId="0">
      <pane ySplit="1" topLeftCell="A2" activePane="bottomLeft" state="frozen"/>
      <selection pane="bottomLeft" activeCell="P2" sqref="P2"/>
    </sheetView>
  </sheetViews>
  <sheetFormatPr defaultColWidth="8.7109375" defaultRowHeight="15" x14ac:dyDescent="0.25"/>
  <cols>
    <col min="1" max="1" width="12" customWidth="1"/>
    <col min="2" max="2" width="10" customWidth="1"/>
    <col min="3" max="3" width="13.28515625" customWidth="1"/>
    <col min="4" max="4" width="10" customWidth="1"/>
    <col min="5" max="5" width="14" customWidth="1"/>
    <col min="6" max="6" width="19.7109375" style="22" customWidth="1"/>
    <col min="7" max="7" width="16.85546875" style="22" customWidth="1"/>
    <col min="8" max="8" width="14.140625" customWidth="1"/>
    <col min="9" max="9" width="15.42578125" customWidth="1"/>
    <col min="10" max="10" width="12" customWidth="1"/>
    <col min="11" max="11" width="18.140625" customWidth="1"/>
    <col min="12" max="12" width="35" customWidth="1"/>
    <col min="13" max="13" width="31.42578125" customWidth="1"/>
    <col min="14" max="14" width="34.42578125" customWidth="1"/>
    <col min="15" max="15" width="16.140625" customWidth="1"/>
  </cols>
  <sheetData>
    <row r="1" spans="1:15" ht="19.5" customHeight="1" x14ac:dyDescent="0.25">
      <c r="A1" s="13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9" t="s">
        <v>5</v>
      </c>
      <c r="G1" s="19" t="s">
        <v>6</v>
      </c>
      <c r="H1" s="1" t="s">
        <v>7</v>
      </c>
      <c r="I1" s="1" t="s">
        <v>8</v>
      </c>
      <c r="J1" s="1" t="s">
        <v>9</v>
      </c>
      <c r="K1" s="16" t="s">
        <v>713</v>
      </c>
      <c r="L1" s="16" t="s">
        <v>707</v>
      </c>
      <c r="M1" s="16" t="s">
        <v>708</v>
      </c>
      <c r="N1" s="16" t="s">
        <v>712</v>
      </c>
      <c r="O1" s="16" t="s">
        <v>716</v>
      </c>
    </row>
    <row r="2" spans="1:15" x14ac:dyDescent="0.25">
      <c r="A2" s="14" t="s">
        <v>10</v>
      </c>
      <c r="B2" s="2" t="s">
        <v>11</v>
      </c>
      <c r="C2" s="2" t="s">
        <v>12</v>
      </c>
      <c r="D2" s="2" t="s">
        <v>13</v>
      </c>
      <c r="E2" s="3">
        <v>45481</v>
      </c>
      <c r="F2" s="20">
        <v>45499</v>
      </c>
      <c r="G2" s="20">
        <v>45505</v>
      </c>
      <c r="H2" s="2">
        <v>1716</v>
      </c>
      <c r="I2" s="2">
        <v>1675</v>
      </c>
      <c r="J2" s="4" t="s">
        <v>14</v>
      </c>
      <c r="K2">
        <f>Table1[[#This Row],[Delivered Qty]]/Table1[[#This Row],[Ordered Qty]]</f>
        <v>0.97610722610722611</v>
      </c>
      <c r="L2">
        <f>VLOOKUP(Table1[[#This Row],[Supplier ID]],Suppliers!$A$2:$D$6,4,FALSE)</f>
        <v>18</v>
      </c>
      <c r="M2">
        <f>Table1[[#This Row],[Actual Delivery]]-Table1[[#This Row],[Order Date]]-Table1[[#This Row],[std Lead time]]</f>
        <v>6</v>
      </c>
      <c r="N2">
        <f>IF(AND(Table1[[#This Row],[Status]] = "Delivered", Table1[[#This Row],[Actual Delivery]] &lt;= Table1[[#This Row],[Promised Delivery]],Table1[[#This Row],[FillRate]]&gt;=0.95),1,0)</f>
        <v>0</v>
      </c>
      <c r="O2" t="str">
        <f>VLOOKUP(B2,Products!$A$2:$D$9,3,FALSE)</f>
        <v>Packaging</v>
      </c>
    </row>
    <row r="3" spans="1:15" x14ac:dyDescent="0.25">
      <c r="A3" s="15" t="s">
        <v>15</v>
      </c>
      <c r="B3" s="5" t="s">
        <v>16</v>
      </c>
      <c r="C3" s="5" t="s">
        <v>17</v>
      </c>
      <c r="D3" s="5" t="s">
        <v>18</v>
      </c>
      <c r="E3" s="6">
        <v>45475</v>
      </c>
      <c r="F3" s="21">
        <v>45481</v>
      </c>
      <c r="G3" s="21">
        <v>45479</v>
      </c>
      <c r="H3" s="5">
        <v>1234</v>
      </c>
      <c r="I3" s="5">
        <v>1125</v>
      </c>
      <c r="J3" s="4" t="s">
        <v>14</v>
      </c>
      <c r="K3">
        <f>Table1[[#This Row],[Delivered Qty]]/Table1[[#This Row],[Ordered Qty]]</f>
        <v>0.91166936790923825</v>
      </c>
      <c r="L3">
        <f>VLOOKUP(Table1[[#This Row],[Supplier ID]],Suppliers!$A$2:$D$6,4,FALSE)</f>
        <v>6</v>
      </c>
      <c r="M3">
        <f>Table1[[#This Row],[Actual Delivery]]-Table1[[#This Row],[Order Date]]-Table1[[#This Row],[std Lead time]]</f>
        <v>-2</v>
      </c>
      <c r="N3">
        <f>IF(AND(Table1[[#This Row],[Status]] = "Delivered", Table1[[#This Row],[Actual Delivery]] &lt;= Table1[[#This Row],[Promised Delivery]],Table1[[#This Row],[FillRate]]&gt;=0.95),1,0)</f>
        <v>0</v>
      </c>
      <c r="O3" t="str">
        <f>VLOOKUP(B3,Products!$A$2:$D$9,3,FALSE)</f>
        <v>Packaging</v>
      </c>
    </row>
    <row r="4" spans="1:15" x14ac:dyDescent="0.25">
      <c r="A4" s="14" t="s">
        <v>19</v>
      </c>
      <c r="B4" s="2" t="s">
        <v>20</v>
      </c>
      <c r="C4" s="2" t="s">
        <v>17</v>
      </c>
      <c r="D4" s="2" t="s">
        <v>18</v>
      </c>
      <c r="E4" s="3">
        <v>45481</v>
      </c>
      <c r="F4" s="20">
        <v>45487</v>
      </c>
      <c r="G4" s="20">
        <v>45485</v>
      </c>
      <c r="H4" s="2">
        <v>1754</v>
      </c>
      <c r="I4" s="2">
        <v>1719</v>
      </c>
      <c r="J4" s="4" t="s">
        <v>14</v>
      </c>
      <c r="K4">
        <f>Table1[[#This Row],[Delivered Qty]]/Table1[[#This Row],[Ordered Qty]]</f>
        <v>0.98004561003420754</v>
      </c>
      <c r="L4">
        <f>VLOOKUP(Table1[[#This Row],[Supplier ID]],Suppliers!$A$2:$D$6,4,FALSE)</f>
        <v>6</v>
      </c>
      <c r="M4">
        <f>Table1[[#This Row],[Actual Delivery]]-Table1[[#This Row],[Order Date]]-Table1[[#This Row],[std Lead time]]</f>
        <v>-2</v>
      </c>
      <c r="N4">
        <f>IF(AND(Table1[[#This Row],[Status]] = "Delivered", Table1[[#This Row],[Actual Delivery]] &lt;= Table1[[#This Row],[Promised Delivery]],Table1[[#This Row],[FillRate]]&gt;=0.95),1,0)</f>
        <v>1</v>
      </c>
      <c r="O4" t="str">
        <f>VLOOKUP(B4,Products!$A$2:$D$9,3,FALSE)</f>
        <v>Raw Material</v>
      </c>
    </row>
    <row r="5" spans="1:15" x14ac:dyDescent="0.25">
      <c r="A5" s="15" t="s">
        <v>21</v>
      </c>
      <c r="B5" s="5" t="s">
        <v>22</v>
      </c>
      <c r="C5" s="5" t="s">
        <v>12</v>
      </c>
      <c r="D5" s="5" t="s">
        <v>23</v>
      </c>
      <c r="E5" s="6">
        <v>45478</v>
      </c>
      <c r="F5" s="21">
        <v>45496</v>
      </c>
      <c r="G5" s="21">
        <v>45508</v>
      </c>
      <c r="H5" s="5">
        <v>409</v>
      </c>
      <c r="I5" s="5">
        <v>371</v>
      </c>
      <c r="J5" s="4" t="s">
        <v>14</v>
      </c>
      <c r="K5">
        <f>Table1[[#This Row],[Delivered Qty]]/Table1[[#This Row],[Ordered Qty]]</f>
        <v>0.90709046454767728</v>
      </c>
      <c r="L5">
        <f>VLOOKUP(Table1[[#This Row],[Supplier ID]],Suppliers!$A$2:$D$6,4,FALSE)</f>
        <v>18</v>
      </c>
      <c r="M5">
        <f>Table1[[#This Row],[Actual Delivery]]-Table1[[#This Row],[Order Date]]-Table1[[#This Row],[std Lead time]]</f>
        <v>12</v>
      </c>
      <c r="N5">
        <f>IF(AND(Table1[[#This Row],[Status]] = "Delivered", Table1[[#This Row],[Actual Delivery]] &lt;= Table1[[#This Row],[Promised Delivery]],Table1[[#This Row],[FillRate]]&gt;=0.95),1,0)</f>
        <v>0</v>
      </c>
      <c r="O5" t="str">
        <f>VLOOKUP(B5,Products!$A$2:$D$9,3,FALSE)</f>
        <v>Finished Goods</v>
      </c>
    </row>
    <row r="6" spans="1:15" x14ac:dyDescent="0.25">
      <c r="A6" s="14" t="s">
        <v>24</v>
      </c>
      <c r="B6" s="2" t="s">
        <v>16</v>
      </c>
      <c r="C6" s="2" t="s">
        <v>12</v>
      </c>
      <c r="D6" s="2" t="s">
        <v>23</v>
      </c>
      <c r="E6" s="3">
        <v>45493</v>
      </c>
      <c r="F6" s="20">
        <v>45511</v>
      </c>
      <c r="G6" s="20">
        <v>45517</v>
      </c>
      <c r="H6" s="2">
        <v>1140</v>
      </c>
      <c r="I6" s="2">
        <v>1023</v>
      </c>
      <c r="J6" s="4" t="s">
        <v>14</v>
      </c>
      <c r="K6">
        <f>Table1[[#This Row],[Delivered Qty]]/Table1[[#This Row],[Ordered Qty]]</f>
        <v>0.89736842105263159</v>
      </c>
      <c r="L6">
        <f>VLOOKUP(Table1[[#This Row],[Supplier ID]],Suppliers!$A$2:$D$6,4,FALSE)</f>
        <v>18</v>
      </c>
      <c r="M6">
        <f>Table1[[#This Row],[Actual Delivery]]-Table1[[#This Row],[Order Date]]-Table1[[#This Row],[std Lead time]]</f>
        <v>6</v>
      </c>
      <c r="N6">
        <f>IF(AND(Table1[[#This Row],[Status]] = "Delivered", Table1[[#This Row],[Actual Delivery]] &lt;= Table1[[#This Row],[Promised Delivery]],Table1[[#This Row],[FillRate]]&gt;=0.95),1,0)</f>
        <v>0</v>
      </c>
      <c r="O6" t="str">
        <f>VLOOKUP(B6,Products!$A$2:$D$9,3,FALSE)</f>
        <v>Packaging</v>
      </c>
    </row>
    <row r="7" spans="1:15" x14ac:dyDescent="0.25">
      <c r="A7" s="15" t="s">
        <v>25</v>
      </c>
      <c r="B7" s="5" t="s">
        <v>22</v>
      </c>
      <c r="C7" s="5" t="s">
        <v>26</v>
      </c>
      <c r="D7" s="5" t="s">
        <v>23</v>
      </c>
      <c r="E7" s="6">
        <v>45500</v>
      </c>
      <c r="F7" s="21">
        <v>45507</v>
      </c>
      <c r="G7" s="21">
        <v>45507</v>
      </c>
      <c r="H7" s="5">
        <v>342</v>
      </c>
      <c r="I7" s="5">
        <v>309</v>
      </c>
      <c r="J7" s="4" t="s">
        <v>14</v>
      </c>
      <c r="K7">
        <f>Table1[[#This Row],[Delivered Qty]]/Table1[[#This Row],[Ordered Qty]]</f>
        <v>0.90350877192982459</v>
      </c>
      <c r="L7">
        <f>VLOOKUP(Table1[[#This Row],[Supplier ID]],Suppliers!$A$2:$D$6,4,FALSE)</f>
        <v>7</v>
      </c>
      <c r="M7">
        <f>Table1[[#This Row],[Actual Delivery]]-Table1[[#This Row],[Order Date]]-Table1[[#This Row],[std Lead time]]</f>
        <v>0</v>
      </c>
      <c r="N7">
        <f>IF(AND(Table1[[#This Row],[Status]] = "Delivered", Table1[[#This Row],[Actual Delivery]] &lt;= Table1[[#This Row],[Promised Delivery]],Table1[[#This Row],[FillRate]]&gt;=0.95),1,0)</f>
        <v>0</v>
      </c>
      <c r="O7" t="str">
        <f>VLOOKUP(B7,Products!$A$2:$D$9,3,FALSE)</f>
        <v>Finished Goods</v>
      </c>
    </row>
    <row r="8" spans="1:15" x14ac:dyDescent="0.25">
      <c r="A8" s="14" t="s">
        <v>27</v>
      </c>
      <c r="B8" s="2" t="s">
        <v>20</v>
      </c>
      <c r="C8" s="2" t="s">
        <v>12</v>
      </c>
      <c r="D8" s="2" t="s">
        <v>28</v>
      </c>
      <c r="E8" s="3">
        <v>45501</v>
      </c>
      <c r="F8" s="20">
        <v>45519</v>
      </c>
      <c r="G8" s="20">
        <v>45523</v>
      </c>
      <c r="H8" s="2">
        <v>769</v>
      </c>
      <c r="I8" s="2">
        <v>726</v>
      </c>
      <c r="J8" s="4" t="s">
        <v>14</v>
      </c>
      <c r="K8">
        <f>Table1[[#This Row],[Delivered Qty]]/Table1[[#This Row],[Ordered Qty]]</f>
        <v>0.9440832249674902</v>
      </c>
      <c r="L8">
        <f>VLOOKUP(Table1[[#This Row],[Supplier ID]],Suppliers!$A$2:$D$6,4,FALSE)</f>
        <v>18</v>
      </c>
      <c r="M8">
        <f>Table1[[#This Row],[Actual Delivery]]-Table1[[#This Row],[Order Date]]-Table1[[#This Row],[std Lead time]]</f>
        <v>4</v>
      </c>
      <c r="N8">
        <f>IF(AND(Table1[[#This Row],[Status]] = "Delivered", Table1[[#This Row],[Actual Delivery]] &lt;= Table1[[#This Row],[Promised Delivery]],Table1[[#This Row],[FillRate]]&gt;=0.95),1,0)</f>
        <v>0</v>
      </c>
      <c r="O8" t="str">
        <f>VLOOKUP(B8,Products!$A$2:$D$9,3,FALSE)</f>
        <v>Raw Material</v>
      </c>
    </row>
    <row r="9" spans="1:15" x14ac:dyDescent="0.25">
      <c r="A9" s="15" t="s">
        <v>29</v>
      </c>
      <c r="B9" s="5" t="s">
        <v>30</v>
      </c>
      <c r="C9" s="5" t="s">
        <v>31</v>
      </c>
      <c r="D9" s="5" t="s">
        <v>23</v>
      </c>
      <c r="E9" s="6">
        <v>45485</v>
      </c>
      <c r="F9" s="21">
        <v>45490</v>
      </c>
      <c r="G9" s="21">
        <v>45490</v>
      </c>
      <c r="H9" s="5">
        <v>1599</v>
      </c>
      <c r="I9" s="5">
        <v>1542</v>
      </c>
      <c r="J9" s="4" t="s">
        <v>14</v>
      </c>
      <c r="K9">
        <f>Table1[[#This Row],[Delivered Qty]]/Table1[[#This Row],[Ordered Qty]]</f>
        <v>0.96435272045028142</v>
      </c>
      <c r="L9">
        <f>VLOOKUP(Table1[[#This Row],[Supplier ID]],Suppliers!$A$2:$D$6,4,FALSE)</f>
        <v>5</v>
      </c>
      <c r="M9">
        <f>Table1[[#This Row],[Actual Delivery]]-Table1[[#This Row],[Order Date]]-Table1[[#This Row],[std Lead time]]</f>
        <v>0</v>
      </c>
      <c r="N9">
        <f>IF(AND(Table1[[#This Row],[Status]] = "Delivered", Table1[[#This Row],[Actual Delivery]] &lt;= Table1[[#This Row],[Promised Delivery]],Table1[[#This Row],[FillRate]]&gt;=0.95),1,0)</f>
        <v>1</v>
      </c>
      <c r="O9" t="str">
        <f>VLOOKUP(B9,Products!$A$2:$D$9,3,FALSE)</f>
        <v>Finished Goods</v>
      </c>
    </row>
    <row r="10" spans="1:15" x14ac:dyDescent="0.25">
      <c r="A10" s="14" t="s">
        <v>32</v>
      </c>
      <c r="B10" s="2" t="s">
        <v>33</v>
      </c>
      <c r="C10" s="2" t="s">
        <v>17</v>
      </c>
      <c r="D10" s="2" t="s">
        <v>13</v>
      </c>
      <c r="E10" s="3">
        <v>45479</v>
      </c>
      <c r="F10" s="20">
        <v>45485</v>
      </c>
      <c r="G10" s="20">
        <v>45485</v>
      </c>
      <c r="H10" s="2">
        <v>1609</v>
      </c>
      <c r="I10" s="2">
        <v>1537</v>
      </c>
      <c r="J10" s="4" t="s">
        <v>14</v>
      </c>
      <c r="K10">
        <f>Table1[[#This Row],[Delivered Qty]]/Table1[[#This Row],[Ordered Qty]]</f>
        <v>0.95525170913610935</v>
      </c>
      <c r="L10">
        <f>VLOOKUP(Table1[[#This Row],[Supplier ID]],Suppliers!$A$2:$D$6,4,FALSE)</f>
        <v>6</v>
      </c>
      <c r="M10">
        <f>Table1[[#This Row],[Actual Delivery]]-Table1[[#This Row],[Order Date]]-Table1[[#This Row],[std Lead time]]</f>
        <v>0</v>
      </c>
      <c r="N10">
        <f>IF(AND(Table1[[#This Row],[Status]] = "Delivered", Table1[[#This Row],[Actual Delivery]] &lt;= Table1[[#This Row],[Promised Delivery]],Table1[[#This Row],[FillRate]]&gt;=0.95),1,0)</f>
        <v>1</v>
      </c>
      <c r="O10" t="str">
        <f>VLOOKUP(B10,Products!$A$2:$D$9,3,FALSE)</f>
        <v>Raw Material</v>
      </c>
    </row>
    <row r="11" spans="1:15" x14ac:dyDescent="0.25">
      <c r="A11" s="15" t="s">
        <v>34</v>
      </c>
      <c r="B11" s="5" t="s">
        <v>30</v>
      </c>
      <c r="C11" s="5" t="s">
        <v>26</v>
      </c>
      <c r="D11" s="5" t="s">
        <v>13</v>
      </c>
      <c r="E11" s="6">
        <v>45500</v>
      </c>
      <c r="F11" s="21">
        <v>45507</v>
      </c>
      <c r="G11" s="21">
        <v>45511</v>
      </c>
      <c r="H11" s="5">
        <v>748</v>
      </c>
      <c r="I11" s="5">
        <v>678</v>
      </c>
      <c r="J11" s="4" t="s">
        <v>14</v>
      </c>
      <c r="K11">
        <f>Table1[[#This Row],[Delivered Qty]]/Table1[[#This Row],[Ordered Qty]]</f>
        <v>0.9064171122994652</v>
      </c>
      <c r="L11">
        <f>VLOOKUP(Table1[[#This Row],[Supplier ID]],Suppliers!$A$2:$D$6,4,FALSE)</f>
        <v>7</v>
      </c>
      <c r="M11">
        <f>Table1[[#This Row],[Actual Delivery]]-Table1[[#This Row],[Order Date]]-Table1[[#This Row],[std Lead time]]</f>
        <v>4</v>
      </c>
      <c r="N11">
        <f>IF(AND(Table1[[#This Row],[Status]] = "Delivered", Table1[[#This Row],[Actual Delivery]] &lt;= Table1[[#This Row],[Promised Delivery]],Table1[[#This Row],[FillRate]]&gt;=0.95),1,0)</f>
        <v>0</v>
      </c>
      <c r="O11" t="str">
        <f>VLOOKUP(B11,Products!$A$2:$D$9,3,FALSE)</f>
        <v>Finished Goods</v>
      </c>
    </row>
    <row r="12" spans="1:15" x14ac:dyDescent="0.25">
      <c r="A12" s="14" t="s">
        <v>35</v>
      </c>
      <c r="B12" s="2" t="s">
        <v>30</v>
      </c>
      <c r="C12" s="2" t="s">
        <v>31</v>
      </c>
      <c r="D12" s="2" t="s">
        <v>18</v>
      </c>
      <c r="E12" s="3">
        <v>45486</v>
      </c>
      <c r="F12" s="20">
        <v>45491</v>
      </c>
      <c r="G12" s="20">
        <v>45489</v>
      </c>
      <c r="H12" s="2">
        <v>705</v>
      </c>
      <c r="I12" s="2">
        <v>687</v>
      </c>
      <c r="J12" s="4" t="s">
        <v>14</v>
      </c>
      <c r="K12">
        <f>Table1[[#This Row],[Delivered Qty]]/Table1[[#This Row],[Ordered Qty]]</f>
        <v>0.97446808510638294</v>
      </c>
      <c r="L12">
        <f>VLOOKUP(Table1[[#This Row],[Supplier ID]],Suppliers!$A$2:$D$6,4,FALSE)</f>
        <v>5</v>
      </c>
      <c r="M12">
        <f>Table1[[#This Row],[Actual Delivery]]-Table1[[#This Row],[Order Date]]-Table1[[#This Row],[std Lead time]]</f>
        <v>-2</v>
      </c>
      <c r="N12">
        <f>IF(AND(Table1[[#This Row],[Status]] = "Delivered", Table1[[#This Row],[Actual Delivery]] &lt;= Table1[[#This Row],[Promised Delivery]],Table1[[#This Row],[FillRate]]&gt;=0.95),1,0)</f>
        <v>1</v>
      </c>
      <c r="O12" t="str">
        <f>VLOOKUP(B12,Products!$A$2:$D$9,3,FALSE)</f>
        <v>Finished Goods</v>
      </c>
    </row>
    <row r="13" spans="1:15" x14ac:dyDescent="0.25">
      <c r="A13" s="15" t="s">
        <v>36</v>
      </c>
      <c r="B13" s="5" t="s">
        <v>37</v>
      </c>
      <c r="C13" s="5" t="s">
        <v>17</v>
      </c>
      <c r="D13" s="5" t="s">
        <v>18</v>
      </c>
      <c r="E13" s="6">
        <v>45492</v>
      </c>
      <c r="F13" s="21">
        <v>45498</v>
      </c>
      <c r="G13" s="21">
        <v>45496</v>
      </c>
      <c r="H13" s="5">
        <v>1243</v>
      </c>
      <c r="I13" s="5">
        <v>1180</v>
      </c>
      <c r="J13" s="4" t="s">
        <v>14</v>
      </c>
      <c r="K13">
        <f>Table1[[#This Row],[Delivered Qty]]/Table1[[#This Row],[Ordered Qty]]</f>
        <v>0.94931617055510864</v>
      </c>
      <c r="L13">
        <f>VLOOKUP(Table1[[#This Row],[Supplier ID]],Suppliers!$A$2:$D$6,4,FALSE)</f>
        <v>6</v>
      </c>
      <c r="M13">
        <f>Table1[[#This Row],[Actual Delivery]]-Table1[[#This Row],[Order Date]]-Table1[[#This Row],[std Lead time]]</f>
        <v>-2</v>
      </c>
      <c r="N13">
        <f>IF(AND(Table1[[#This Row],[Status]] = "Delivered", Table1[[#This Row],[Actual Delivery]] &lt;= Table1[[#This Row],[Promised Delivery]],Table1[[#This Row],[FillRate]]&gt;=0.95),1,0)</f>
        <v>0</v>
      </c>
      <c r="O13" t="str">
        <f>VLOOKUP(B13,Products!$A$2:$D$9,3,FALSE)</f>
        <v>Raw Material</v>
      </c>
    </row>
    <row r="14" spans="1:15" x14ac:dyDescent="0.25">
      <c r="A14" s="14" t="s">
        <v>38</v>
      </c>
      <c r="B14" s="2" t="s">
        <v>11</v>
      </c>
      <c r="C14" s="2" t="s">
        <v>26</v>
      </c>
      <c r="D14" s="2" t="s">
        <v>13</v>
      </c>
      <c r="E14" s="3">
        <v>45494</v>
      </c>
      <c r="F14" s="20">
        <v>45501</v>
      </c>
      <c r="G14" s="20">
        <v>45505</v>
      </c>
      <c r="H14" s="2">
        <v>1421</v>
      </c>
      <c r="I14" s="2">
        <v>1128</v>
      </c>
      <c r="J14" s="4" t="s">
        <v>14</v>
      </c>
      <c r="K14">
        <f>Table1[[#This Row],[Delivered Qty]]/Table1[[#This Row],[Ordered Qty]]</f>
        <v>0.79380717804363121</v>
      </c>
      <c r="L14">
        <f>VLOOKUP(Table1[[#This Row],[Supplier ID]],Suppliers!$A$2:$D$6,4,FALSE)</f>
        <v>7</v>
      </c>
      <c r="M14">
        <f>Table1[[#This Row],[Actual Delivery]]-Table1[[#This Row],[Order Date]]-Table1[[#This Row],[std Lead time]]</f>
        <v>4</v>
      </c>
      <c r="N14">
        <f>IF(AND(Table1[[#This Row],[Status]] = "Delivered", Table1[[#This Row],[Actual Delivery]] &lt;= Table1[[#This Row],[Promised Delivery]],Table1[[#This Row],[FillRate]]&gt;=0.95),1,0)</f>
        <v>0</v>
      </c>
      <c r="O14" t="str">
        <f>VLOOKUP(B14,Products!$A$2:$D$9,3,FALSE)</f>
        <v>Packaging</v>
      </c>
    </row>
    <row r="15" spans="1:15" x14ac:dyDescent="0.25">
      <c r="A15" s="15" t="s">
        <v>39</v>
      </c>
      <c r="B15" s="5" t="s">
        <v>22</v>
      </c>
      <c r="C15" s="5" t="s">
        <v>17</v>
      </c>
      <c r="D15" s="5" t="s">
        <v>18</v>
      </c>
      <c r="E15" s="6">
        <v>45490</v>
      </c>
      <c r="F15" s="21">
        <v>45496</v>
      </c>
      <c r="G15" s="21">
        <v>45503</v>
      </c>
      <c r="H15" s="5">
        <v>1593</v>
      </c>
      <c r="I15" s="5">
        <v>1548</v>
      </c>
      <c r="J15" s="4" t="s">
        <v>14</v>
      </c>
      <c r="K15">
        <f>Table1[[#This Row],[Delivered Qty]]/Table1[[#This Row],[Ordered Qty]]</f>
        <v>0.97175141242937857</v>
      </c>
      <c r="L15">
        <f>VLOOKUP(Table1[[#This Row],[Supplier ID]],Suppliers!$A$2:$D$6,4,FALSE)</f>
        <v>6</v>
      </c>
      <c r="M15">
        <f>Table1[[#This Row],[Actual Delivery]]-Table1[[#This Row],[Order Date]]-Table1[[#This Row],[std Lead time]]</f>
        <v>7</v>
      </c>
      <c r="N15">
        <f>IF(AND(Table1[[#This Row],[Status]] = "Delivered", Table1[[#This Row],[Actual Delivery]] &lt;= Table1[[#This Row],[Promised Delivery]],Table1[[#This Row],[FillRate]]&gt;=0.95),1,0)</f>
        <v>0</v>
      </c>
      <c r="O15" t="str">
        <f>VLOOKUP(B15,Products!$A$2:$D$9,3,FALSE)</f>
        <v>Finished Goods</v>
      </c>
    </row>
    <row r="16" spans="1:15" x14ac:dyDescent="0.25">
      <c r="A16" s="14" t="s">
        <v>40</v>
      </c>
      <c r="B16" s="2" t="s">
        <v>37</v>
      </c>
      <c r="C16" s="2" t="s">
        <v>12</v>
      </c>
      <c r="D16" s="2" t="s">
        <v>28</v>
      </c>
      <c r="E16" s="3">
        <v>45483</v>
      </c>
      <c r="F16" s="20">
        <v>45501</v>
      </c>
      <c r="G16" s="20">
        <v>45499</v>
      </c>
      <c r="H16" s="2">
        <v>1678</v>
      </c>
      <c r="I16" s="2">
        <v>1657</v>
      </c>
      <c r="J16" s="4" t="s">
        <v>14</v>
      </c>
      <c r="K16">
        <f>Table1[[#This Row],[Delivered Qty]]/Table1[[#This Row],[Ordered Qty]]</f>
        <v>0.98748510131108458</v>
      </c>
      <c r="L16">
        <f>VLOOKUP(Table1[[#This Row],[Supplier ID]],Suppliers!$A$2:$D$6,4,FALSE)</f>
        <v>18</v>
      </c>
      <c r="M16">
        <f>Table1[[#This Row],[Actual Delivery]]-Table1[[#This Row],[Order Date]]-Table1[[#This Row],[std Lead time]]</f>
        <v>-2</v>
      </c>
      <c r="N16">
        <f>IF(AND(Table1[[#This Row],[Status]] = "Delivered", Table1[[#This Row],[Actual Delivery]] &lt;= Table1[[#This Row],[Promised Delivery]],Table1[[#This Row],[FillRate]]&gt;=0.95),1,0)</f>
        <v>1</v>
      </c>
      <c r="O16" t="str">
        <f>VLOOKUP(B16,Products!$A$2:$D$9,3,FALSE)</f>
        <v>Raw Material</v>
      </c>
    </row>
    <row r="17" spans="1:15" x14ac:dyDescent="0.25">
      <c r="A17" s="15" t="s">
        <v>41</v>
      </c>
      <c r="B17" s="5" t="s">
        <v>37</v>
      </c>
      <c r="C17" s="5" t="s">
        <v>17</v>
      </c>
      <c r="D17" s="5" t="s">
        <v>13</v>
      </c>
      <c r="E17" s="6">
        <v>45490</v>
      </c>
      <c r="F17" s="21">
        <v>45496</v>
      </c>
      <c r="G17" s="21">
        <v>45499</v>
      </c>
      <c r="H17" s="5">
        <v>1923</v>
      </c>
      <c r="I17" s="5">
        <v>1853</v>
      </c>
      <c r="J17" s="4" t="s">
        <v>14</v>
      </c>
      <c r="K17">
        <f>Table1[[#This Row],[Delivered Qty]]/Table1[[#This Row],[Ordered Qty]]</f>
        <v>0.9635985439417577</v>
      </c>
      <c r="L17">
        <f>VLOOKUP(Table1[[#This Row],[Supplier ID]],Suppliers!$A$2:$D$6,4,FALSE)</f>
        <v>6</v>
      </c>
      <c r="M17">
        <f>Table1[[#This Row],[Actual Delivery]]-Table1[[#This Row],[Order Date]]-Table1[[#This Row],[std Lead time]]</f>
        <v>3</v>
      </c>
      <c r="N17">
        <f>IF(AND(Table1[[#This Row],[Status]] = "Delivered", Table1[[#This Row],[Actual Delivery]] &lt;= Table1[[#This Row],[Promised Delivery]],Table1[[#This Row],[FillRate]]&gt;=0.95),1,0)</f>
        <v>0</v>
      </c>
      <c r="O17" t="str">
        <f>VLOOKUP(B17,Products!$A$2:$D$9,3,FALSE)</f>
        <v>Raw Material</v>
      </c>
    </row>
    <row r="18" spans="1:15" x14ac:dyDescent="0.25">
      <c r="A18" s="14" t="s">
        <v>42</v>
      </c>
      <c r="B18" s="2" t="s">
        <v>20</v>
      </c>
      <c r="C18" s="2" t="s">
        <v>31</v>
      </c>
      <c r="D18" s="2" t="s">
        <v>23</v>
      </c>
      <c r="E18" s="3">
        <v>45498</v>
      </c>
      <c r="F18" s="20">
        <v>45503</v>
      </c>
      <c r="G18" s="20">
        <v>45503</v>
      </c>
      <c r="H18" s="2">
        <v>201</v>
      </c>
      <c r="I18" s="2">
        <v>192</v>
      </c>
      <c r="J18" s="4" t="s">
        <v>14</v>
      </c>
      <c r="K18">
        <f>Table1[[#This Row],[Delivered Qty]]/Table1[[#This Row],[Ordered Qty]]</f>
        <v>0.95522388059701491</v>
      </c>
      <c r="L18">
        <f>VLOOKUP(Table1[[#This Row],[Supplier ID]],Suppliers!$A$2:$D$6,4,FALSE)</f>
        <v>5</v>
      </c>
      <c r="M18">
        <f>Table1[[#This Row],[Actual Delivery]]-Table1[[#This Row],[Order Date]]-Table1[[#This Row],[std Lead time]]</f>
        <v>0</v>
      </c>
      <c r="N18">
        <f>IF(AND(Table1[[#This Row],[Status]] = "Delivered", Table1[[#This Row],[Actual Delivery]] &lt;= Table1[[#This Row],[Promised Delivery]],Table1[[#This Row],[FillRate]]&gt;=0.95),1,0)</f>
        <v>1</v>
      </c>
      <c r="O18" t="str">
        <f>VLOOKUP(B18,Products!$A$2:$D$9,3,FALSE)</f>
        <v>Raw Material</v>
      </c>
    </row>
    <row r="19" spans="1:15" x14ac:dyDescent="0.25">
      <c r="A19" s="15" t="s">
        <v>43</v>
      </c>
      <c r="B19" s="5" t="s">
        <v>44</v>
      </c>
      <c r="C19" s="5" t="s">
        <v>26</v>
      </c>
      <c r="D19" s="5" t="s">
        <v>28</v>
      </c>
      <c r="E19" s="6">
        <v>45485</v>
      </c>
      <c r="F19" s="21">
        <v>45492</v>
      </c>
      <c r="G19" s="21">
        <v>45490</v>
      </c>
      <c r="H19" s="5">
        <v>1998</v>
      </c>
      <c r="I19" s="5">
        <v>1911</v>
      </c>
      <c r="J19" s="4" t="s">
        <v>14</v>
      </c>
      <c r="K19">
        <f>Table1[[#This Row],[Delivered Qty]]/Table1[[#This Row],[Ordered Qty]]</f>
        <v>0.95645645645645649</v>
      </c>
      <c r="L19">
        <f>VLOOKUP(Table1[[#This Row],[Supplier ID]],Suppliers!$A$2:$D$6,4,FALSE)</f>
        <v>7</v>
      </c>
      <c r="M19">
        <f>Table1[[#This Row],[Actual Delivery]]-Table1[[#This Row],[Order Date]]-Table1[[#This Row],[std Lead time]]</f>
        <v>-2</v>
      </c>
      <c r="N19">
        <f>IF(AND(Table1[[#This Row],[Status]] = "Delivered", Table1[[#This Row],[Actual Delivery]] &lt;= Table1[[#This Row],[Promised Delivery]],Table1[[#This Row],[FillRate]]&gt;=0.95),1,0)</f>
        <v>1</v>
      </c>
      <c r="O19" t="str">
        <f>VLOOKUP(B19,Products!$A$2:$D$9,3,FALSE)</f>
        <v>Finished Goods</v>
      </c>
    </row>
    <row r="20" spans="1:15" x14ac:dyDescent="0.25">
      <c r="A20" s="14" t="s">
        <v>45</v>
      </c>
      <c r="B20" s="2" t="s">
        <v>16</v>
      </c>
      <c r="C20" s="2" t="s">
        <v>26</v>
      </c>
      <c r="D20" s="2" t="s">
        <v>18</v>
      </c>
      <c r="E20" s="3">
        <v>45500</v>
      </c>
      <c r="F20" s="20">
        <v>45507</v>
      </c>
      <c r="G20" s="20">
        <v>45522</v>
      </c>
      <c r="H20" s="2">
        <v>1768</v>
      </c>
      <c r="I20" s="2">
        <v>1427</v>
      </c>
      <c r="J20" s="4" t="s">
        <v>14</v>
      </c>
      <c r="K20">
        <f>Table1[[#This Row],[Delivered Qty]]/Table1[[#This Row],[Ordered Qty]]</f>
        <v>0.8071266968325792</v>
      </c>
      <c r="L20">
        <f>VLOOKUP(Table1[[#This Row],[Supplier ID]],Suppliers!$A$2:$D$6,4,FALSE)</f>
        <v>7</v>
      </c>
      <c r="M20">
        <f>Table1[[#This Row],[Actual Delivery]]-Table1[[#This Row],[Order Date]]-Table1[[#This Row],[std Lead time]]</f>
        <v>15</v>
      </c>
      <c r="N20">
        <f>IF(AND(Table1[[#This Row],[Status]] = "Delivered", Table1[[#This Row],[Actual Delivery]] &lt;= Table1[[#This Row],[Promised Delivery]],Table1[[#This Row],[FillRate]]&gt;=0.95),1,0)</f>
        <v>0</v>
      </c>
      <c r="O20" t="str">
        <f>VLOOKUP(B20,Products!$A$2:$D$9,3,FALSE)</f>
        <v>Packaging</v>
      </c>
    </row>
    <row r="21" spans="1:15" x14ac:dyDescent="0.25">
      <c r="A21" s="15" t="s">
        <v>46</v>
      </c>
      <c r="B21" s="5" t="s">
        <v>44</v>
      </c>
      <c r="C21" s="5" t="s">
        <v>17</v>
      </c>
      <c r="D21" s="5" t="s">
        <v>13</v>
      </c>
      <c r="E21" s="6">
        <v>45482</v>
      </c>
      <c r="F21" s="21">
        <v>45488</v>
      </c>
      <c r="G21" s="21">
        <v>45503</v>
      </c>
      <c r="H21" s="5">
        <v>1746</v>
      </c>
      <c r="I21" s="5">
        <v>1698</v>
      </c>
      <c r="J21" s="4" t="s">
        <v>14</v>
      </c>
      <c r="K21">
        <f>Table1[[#This Row],[Delivered Qty]]/Table1[[#This Row],[Ordered Qty]]</f>
        <v>0.97250859106529208</v>
      </c>
      <c r="L21">
        <f>VLOOKUP(Table1[[#This Row],[Supplier ID]],Suppliers!$A$2:$D$6,4,FALSE)</f>
        <v>6</v>
      </c>
      <c r="M21">
        <f>Table1[[#This Row],[Actual Delivery]]-Table1[[#This Row],[Order Date]]-Table1[[#This Row],[std Lead time]]</f>
        <v>15</v>
      </c>
      <c r="N21">
        <f>IF(AND(Table1[[#This Row],[Status]] = "Delivered", Table1[[#This Row],[Actual Delivery]] &lt;= Table1[[#This Row],[Promised Delivery]],Table1[[#This Row],[FillRate]]&gt;=0.95),1,0)</f>
        <v>0</v>
      </c>
      <c r="O21" t="str">
        <f>VLOOKUP(B21,Products!$A$2:$D$9,3,FALSE)</f>
        <v>Finished Goods</v>
      </c>
    </row>
    <row r="22" spans="1:15" x14ac:dyDescent="0.25">
      <c r="A22" s="14" t="s">
        <v>47</v>
      </c>
      <c r="B22" s="2" t="s">
        <v>20</v>
      </c>
      <c r="C22" s="2" t="s">
        <v>12</v>
      </c>
      <c r="D22" s="2" t="s">
        <v>18</v>
      </c>
      <c r="E22" s="3">
        <v>45495</v>
      </c>
      <c r="F22" s="20">
        <v>45513</v>
      </c>
      <c r="G22" s="20">
        <v>45513</v>
      </c>
      <c r="H22" s="2">
        <v>1124</v>
      </c>
      <c r="I22" s="2">
        <v>1025</v>
      </c>
      <c r="J22" s="4" t="s">
        <v>14</v>
      </c>
      <c r="K22">
        <f>Table1[[#This Row],[Delivered Qty]]/Table1[[#This Row],[Ordered Qty]]</f>
        <v>0.91192170818505336</v>
      </c>
      <c r="L22">
        <f>VLOOKUP(Table1[[#This Row],[Supplier ID]],Suppliers!$A$2:$D$6,4,FALSE)</f>
        <v>18</v>
      </c>
      <c r="M22">
        <f>Table1[[#This Row],[Actual Delivery]]-Table1[[#This Row],[Order Date]]-Table1[[#This Row],[std Lead time]]</f>
        <v>0</v>
      </c>
      <c r="N22">
        <f>IF(AND(Table1[[#This Row],[Status]] = "Delivered", Table1[[#This Row],[Actual Delivery]] &lt;= Table1[[#This Row],[Promised Delivery]],Table1[[#This Row],[FillRate]]&gt;=0.95),1,0)</f>
        <v>0</v>
      </c>
      <c r="O22" t="str">
        <f>VLOOKUP(B22,Products!$A$2:$D$9,3,FALSE)</f>
        <v>Raw Material</v>
      </c>
    </row>
    <row r="23" spans="1:15" x14ac:dyDescent="0.25">
      <c r="A23" s="15" t="s">
        <v>48</v>
      </c>
      <c r="B23" s="5" t="s">
        <v>20</v>
      </c>
      <c r="C23" s="5" t="s">
        <v>26</v>
      </c>
      <c r="D23" s="5" t="s">
        <v>23</v>
      </c>
      <c r="E23" s="6">
        <v>45474</v>
      </c>
      <c r="F23" s="21">
        <v>45481</v>
      </c>
      <c r="G23" s="21">
        <v>45479</v>
      </c>
      <c r="H23" s="5">
        <v>345</v>
      </c>
      <c r="I23" s="5">
        <v>334</v>
      </c>
      <c r="J23" s="4" t="s">
        <v>14</v>
      </c>
      <c r="K23">
        <f>Table1[[#This Row],[Delivered Qty]]/Table1[[#This Row],[Ordered Qty]]</f>
        <v>0.96811594202898554</v>
      </c>
      <c r="L23">
        <f>VLOOKUP(Table1[[#This Row],[Supplier ID]],Suppliers!$A$2:$D$6,4,FALSE)</f>
        <v>7</v>
      </c>
      <c r="M23">
        <f>Table1[[#This Row],[Actual Delivery]]-Table1[[#This Row],[Order Date]]-Table1[[#This Row],[std Lead time]]</f>
        <v>-2</v>
      </c>
      <c r="N23">
        <f>IF(AND(Table1[[#This Row],[Status]] = "Delivered", Table1[[#This Row],[Actual Delivery]] &lt;= Table1[[#This Row],[Promised Delivery]],Table1[[#This Row],[FillRate]]&gt;=0.95),1,0)</f>
        <v>1</v>
      </c>
      <c r="O23" t="str">
        <f>VLOOKUP(B23,Products!$A$2:$D$9,3,FALSE)</f>
        <v>Raw Material</v>
      </c>
    </row>
    <row r="24" spans="1:15" x14ac:dyDescent="0.25">
      <c r="A24" s="14" t="s">
        <v>49</v>
      </c>
      <c r="B24" s="2" t="s">
        <v>11</v>
      </c>
      <c r="C24" s="2" t="s">
        <v>31</v>
      </c>
      <c r="D24" s="2" t="s">
        <v>28</v>
      </c>
      <c r="E24" s="3">
        <v>45475</v>
      </c>
      <c r="F24" s="20">
        <v>45480</v>
      </c>
      <c r="G24" s="20">
        <v>45478</v>
      </c>
      <c r="H24" s="2">
        <v>770</v>
      </c>
      <c r="I24" s="2">
        <v>713</v>
      </c>
      <c r="J24" s="4" t="s">
        <v>14</v>
      </c>
      <c r="K24">
        <f>Table1[[#This Row],[Delivered Qty]]/Table1[[#This Row],[Ordered Qty]]</f>
        <v>0.925974025974026</v>
      </c>
      <c r="L24">
        <f>VLOOKUP(Table1[[#This Row],[Supplier ID]],Suppliers!$A$2:$D$6,4,FALSE)</f>
        <v>5</v>
      </c>
      <c r="M24">
        <f>Table1[[#This Row],[Actual Delivery]]-Table1[[#This Row],[Order Date]]-Table1[[#This Row],[std Lead time]]</f>
        <v>-2</v>
      </c>
      <c r="N24">
        <f>IF(AND(Table1[[#This Row],[Status]] = "Delivered", Table1[[#This Row],[Actual Delivery]] &lt;= Table1[[#This Row],[Promised Delivery]],Table1[[#This Row],[FillRate]]&gt;=0.95),1,0)</f>
        <v>0</v>
      </c>
      <c r="O24" t="str">
        <f>VLOOKUP(B24,Products!$A$2:$D$9,3,FALSE)</f>
        <v>Packaging</v>
      </c>
    </row>
    <row r="25" spans="1:15" x14ac:dyDescent="0.25">
      <c r="A25" s="15" t="s">
        <v>50</v>
      </c>
      <c r="B25" s="5" t="s">
        <v>20</v>
      </c>
      <c r="C25" s="5" t="s">
        <v>17</v>
      </c>
      <c r="D25" s="5" t="s">
        <v>13</v>
      </c>
      <c r="E25" s="6">
        <v>45497</v>
      </c>
      <c r="F25" s="21">
        <v>45503</v>
      </c>
      <c r="G25" s="21">
        <v>45502</v>
      </c>
      <c r="H25" s="5">
        <v>1853</v>
      </c>
      <c r="I25" s="5">
        <v>1743</v>
      </c>
      <c r="J25" s="4" t="s">
        <v>14</v>
      </c>
      <c r="K25">
        <f>Table1[[#This Row],[Delivered Qty]]/Table1[[#This Row],[Ordered Qty]]</f>
        <v>0.94063680518078796</v>
      </c>
      <c r="L25">
        <f>VLOOKUP(Table1[[#This Row],[Supplier ID]],Suppliers!$A$2:$D$6,4,FALSE)</f>
        <v>6</v>
      </c>
      <c r="M25">
        <f>Table1[[#This Row],[Actual Delivery]]-Table1[[#This Row],[Order Date]]-Table1[[#This Row],[std Lead time]]</f>
        <v>-1</v>
      </c>
      <c r="N25">
        <f>IF(AND(Table1[[#This Row],[Status]] = "Delivered", Table1[[#This Row],[Actual Delivery]] &lt;= Table1[[#This Row],[Promised Delivery]],Table1[[#This Row],[FillRate]]&gt;=0.95),1,0)</f>
        <v>0</v>
      </c>
      <c r="O25" t="str">
        <f>VLOOKUP(B25,Products!$A$2:$D$9,3,FALSE)</f>
        <v>Raw Material</v>
      </c>
    </row>
    <row r="26" spans="1:15" x14ac:dyDescent="0.25">
      <c r="A26" s="14" t="s">
        <v>51</v>
      </c>
      <c r="B26" s="2" t="s">
        <v>16</v>
      </c>
      <c r="C26" s="2" t="s">
        <v>26</v>
      </c>
      <c r="D26" s="2" t="s">
        <v>18</v>
      </c>
      <c r="E26" s="3">
        <v>45485</v>
      </c>
      <c r="F26" s="20">
        <v>45492</v>
      </c>
      <c r="G26" s="20">
        <v>45492</v>
      </c>
      <c r="H26" s="2">
        <v>310</v>
      </c>
      <c r="I26" s="2">
        <v>287</v>
      </c>
      <c r="J26" s="4" t="s">
        <v>14</v>
      </c>
      <c r="K26">
        <f>Table1[[#This Row],[Delivered Qty]]/Table1[[#This Row],[Ordered Qty]]</f>
        <v>0.9258064516129032</v>
      </c>
      <c r="L26">
        <f>VLOOKUP(Table1[[#This Row],[Supplier ID]],Suppliers!$A$2:$D$6,4,FALSE)</f>
        <v>7</v>
      </c>
      <c r="M26">
        <f>Table1[[#This Row],[Actual Delivery]]-Table1[[#This Row],[Order Date]]-Table1[[#This Row],[std Lead time]]</f>
        <v>0</v>
      </c>
      <c r="N26">
        <f>IF(AND(Table1[[#This Row],[Status]] = "Delivered", Table1[[#This Row],[Actual Delivery]] &lt;= Table1[[#This Row],[Promised Delivery]],Table1[[#This Row],[FillRate]]&gt;=0.95),1,0)</f>
        <v>0</v>
      </c>
      <c r="O26" t="str">
        <f>VLOOKUP(B26,Products!$A$2:$D$9,3,FALSE)</f>
        <v>Packaging</v>
      </c>
    </row>
    <row r="27" spans="1:15" x14ac:dyDescent="0.25">
      <c r="A27" s="15" t="s">
        <v>52</v>
      </c>
      <c r="B27" s="5" t="s">
        <v>16</v>
      </c>
      <c r="C27" s="5" t="s">
        <v>26</v>
      </c>
      <c r="D27" s="5" t="s">
        <v>18</v>
      </c>
      <c r="E27" s="6">
        <v>45497</v>
      </c>
      <c r="F27" s="21">
        <v>45504</v>
      </c>
      <c r="G27" s="21">
        <v>45505</v>
      </c>
      <c r="H27" s="5">
        <v>709</v>
      </c>
      <c r="I27" s="5">
        <v>582</v>
      </c>
      <c r="J27" s="4" t="s">
        <v>14</v>
      </c>
      <c r="K27">
        <f>Table1[[#This Row],[Delivered Qty]]/Table1[[#This Row],[Ordered Qty]]</f>
        <v>0.82087447108603662</v>
      </c>
      <c r="L27">
        <f>VLOOKUP(Table1[[#This Row],[Supplier ID]],Suppliers!$A$2:$D$6,4,FALSE)</f>
        <v>7</v>
      </c>
      <c r="M27">
        <f>Table1[[#This Row],[Actual Delivery]]-Table1[[#This Row],[Order Date]]-Table1[[#This Row],[std Lead time]]</f>
        <v>1</v>
      </c>
      <c r="N27">
        <f>IF(AND(Table1[[#This Row],[Status]] = "Delivered", Table1[[#This Row],[Actual Delivery]] &lt;= Table1[[#This Row],[Promised Delivery]],Table1[[#This Row],[FillRate]]&gt;=0.95),1,0)</f>
        <v>0</v>
      </c>
      <c r="O27" t="str">
        <f>VLOOKUP(B27,Products!$A$2:$D$9,3,FALSE)</f>
        <v>Packaging</v>
      </c>
    </row>
    <row r="28" spans="1:15" x14ac:dyDescent="0.25">
      <c r="A28" s="14" t="s">
        <v>53</v>
      </c>
      <c r="B28" s="2" t="s">
        <v>44</v>
      </c>
      <c r="C28" s="2" t="s">
        <v>31</v>
      </c>
      <c r="D28" s="2" t="s">
        <v>18</v>
      </c>
      <c r="E28" s="3">
        <v>45479</v>
      </c>
      <c r="F28" s="20">
        <v>45484</v>
      </c>
      <c r="G28" s="20">
        <v>45482</v>
      </c>
      <c r="H28" s="2">
        <v>1107</v>
      </c>
      <c r="I28" s="2">
        <v>1085</v>
      </c>
      <c r="J28" s="4" t="s">
        <v>14</v>
      </c>
      <c r="K28">
        <f>Table1[[#This Row],[Delivered Qty]]/Table1[[#This Row],[Ordered Qty]]</f>
        <v>0.98012646793134595</v>
      </c>
      <c r="L28">
        <f>VLOOKUP(Table1[[#This Row],[Supplier ID]],Suppliers!$A$2:$D$6,4,FALSE)</f>
        <v>5</v>
      </c>
      <c r="M28">
        <f>Table1[[#This Row],[Actual Delivery]]-Table1[[#This Row],[Order Date]]-Table1[[#This Row],[std Lead time]]</f>
        <v>-2</v>
      </c>
      <c r="N28">
        <f>IF(AND(Table1[[#This Row],[Status]] = "Delivered", Table1[[#This Row],[Actual Delivery]] &lt;= Table1[[#This Row],[Promised Delivery]],Table1[[#This Row],[FillRate]]&gt;=0.95),1,0)</f>
        <v>1</v>
      </c>
      <c r="O28" t="str">
        <f>VLOOKUP(B28,Products!$A$2:$D$9,3,FALSE)</f>
        <v>Finished Goods</v>
      </c>
    </row>
    <row r="29" spans="1:15" x14ac:dyDescent="0.25">
      <c r="A29" s="15" t="s">
        <v>54</v>
      </c>
      <c r="B29" s="5" t="s">
        <v>16</v>
      </c>
      <c r="C29" s="5" t="s">
        <v>26</v>
      </c>
      <c r="D29" s="5" t="s">
        <v>28</v>
      </c>
      <c r="E29" s="6">
        <v>45476</v>
      </c>
      <c r="F29" s="21">
        <v>45483</v>
      </c>
      <c r="G29" s="21">
        <v>45482</v>
      </c>
      <c r="H29" s="5">
        <v>1185</v>
      </c>
      <c r="I29" s="5">
        <v>980</v>
      </c>
      <c r="J29" s="4" t="s">
        <v>14</v>
      </c>
      <c r="K29">
        <f>Table1[[#This Row],[Delivered Qty]]/Table1[[#This Row],[Ordered Qty]]</f>
        <v>0.8270042194092827</v>
      </c>
      <c r="L29">
        <f>VLOOKUP(Table1[[#This Row],[Supplier ID]],Suppliers!$A$2:$D$6,4,FALSE)</f>
        <v>7</v>
      </c>
      <c r="M29">
        <f>Table1[[#This Row],[Actual Delivery]]-Table1[[#This Row],[Order Date]]-Table1[[#This Row],[std Lead time]]</f>
        <v>-1</v>
      </c>
      <c r="N29">
        <f>IF(AND(Table1[[#This Row],[Status]] = "Delivered", Table1[[#This Row],[Actual Delivery]] &lt;= Table1[[#This Row],[Promised Delivery]],Table1[[#This Row],[FillRate]]&gt;=0.95),1,0)</f>
        <v>0</v>
      </c>
      <c r="O29" t="str">
        <f>VLOOKUP(B29,Products!$A$2:$D$9,3,FALSE)</f>
        <v>Packaging</v>
      </c>
    </row>
    <row r="30" spans="1:15" x14ac:dyDescent="0.25">
      <c r="A30" s="14" t="s">
        <v>55</v>
      </c>
      <c r="B30" s="2" t="s">
        <v>22</v>
      </c>
      <c r="C30" s="2" t="s">
        <v>26</v>
      </c>
      <c r="D30" s="2" t="s">
        <v>13</v>
      </c>
      <c r="E30" s="3">
        <v>45486</v>
      </c>
      <c r="F30" s="20">
        <v>45493</v>
      </c>
      <c r="G30" s="20">
        <v>45504</v>
      </c>
      <c r="H30" s="2">
        <v>1805</v>
      </c>
      <c r="I30" s="2">
        <v>1766</v>
      </c>
      <c r="J30" s="4" t="s">
        <v>14</v>
      </c>
      <c r="K30">
        <f>Table1[[#This Row],[Delivered Qty]]/Table1[[#This Row],[Ordered Qty]]</f>
        <v>0.97839335180055398</v>
      </c>
      <c r="L30">
        <f>VLOOKUP(Table1[[#This Row],[Supplier ID]],Suppliers!$A$2:$D$6,4,FALSE)</f>
        <v>7</v>
      </c>
      <c r="M30">
        <f>Table1[[#This Row],[Actual Delivery]]-Table1[[#This Row],[Order Date]]-Table1[[#This Row],[std Lead time]]</f>
        <v>11</v>
      </c>
      <c r="N30">
        <f>IF(AND(Table1[[#This Row],[Status]] = "Delivered", Table1[[#This Row],[Actual Delivery]] &lt;= Table1[[#This Row],[Promised Delivery]],Table1[[#This Row],[FillRate]]&gt;=0.95),1,0)</f>
        <v>0</v>
      </c>
      <c r="O30" t="str">
        <f>VLOOKUP(B30,Products!$A$2:$D$9,3,FALSE)</f>
        <v>Finished Goods</v>
      </c>
    </row>
    <row r="31" spans="1:15" x14ac:dyDescent="0.25">
      <c r="A31" s="15" t="s">
        <v>56</v>
      </c>
      <c r="B31" s="5" t="s">
        <v>37</v>
      </c>
      <c r="C31" s="5" t="s">
        <v>57</v>
      </c>
      <c r="D31" s="5" t="s">
        <v>18</v>
      </c>
      <c r="E31" s="6">
        <v>45478</v>
      </c>
      <c r="F31" s="21">
        <v>45499</v>
      </c>
      <c r="G31" s="21">
        <v>45497</v>
      </c>
      <c r="H31" s="5">
        <v>1386</v>
      </c>
      <c r="I31" s="5">
        <v>1349</v>
      </c>
      <c r="J31" s="4" t="s">
        <v>14</v>
      </c>
      <c r="K31">
        <f>Table1[[#This Row],[Delivered Qty]]/Table1[[#This Row],[Ordered Qty]]</f>
        <v>0.97330447330447334</v>
      </c>
      <c r="L31">
        <f>VLOOKUP(Table1[[#This Row],[Supplier ID]],Suppliers!$A$2:$D$6,4,FALSE)</f>
        <v>21</v>
      </c>
      <c r="M31">
        <f>Table1[[#This Row],[Actual Delivery]]-Table1[[#This Row],[Order Date]]-Table1[[#This Row],[std Lead time]]</f>
        <v>-2</v>
      </c>
      <c r="N31">
        <f>IF(AND(Table1[[#This Row],[Status]] = "Delivered", Table1[[#This Row],[Actual Delivery]] &lt;= Table1[[#This Row],[Promised Delivery]],Table1[[#This Row],[FillRate]]&gt;=0.95),1,0)</f>
        <v>1</v>
      </c>
      <c r="O31" t="str">
        <f>VLOOKUP(B31,Products!$A$2:$D$9,3,FALSE)</f>
        <v>Raw Material</v>
      </c>
    </row>
    <row r="32" spans="1:15" x14ac:dyDescent="0.25">
      <c r="A32" s="14" t="s">
        <v>58</v>
      </c>
      <c r="B32" s="2" t="s">
        <v>11</v>
      </c>
      <c r="C32" s="2" t="s">
        <v>12</v>
      </c>
      <c r="D32" s="2" t="s">
        <v>28</v>
      </c>
      <c r="E32" s="3">
        <v>45475</v>
      </c>
      <c r="F32" s="20">
        <v>45493</v>
      </c>
      <c r="G32" s="20">
        <v>45493</v>
      </c>
      <c r="H32" s="2">
        <v>522</v>
      </c>
      <c r="I32" s="2">
        <v>413</v>
      </c>
      <c r="J32" s="4" t="s">
        <v>14</v>
      </c>
      <c r="K32">
        <f>Table1[[#This Row],[Delivered Qty]]/Table1[[#This Row],[Ordered Qty]]</f>
        <v>0.79118773946360155</v>
      </c>
      <c r="L32">
        <f>VLOOKUP(Table1[[#This Row],[Supplier ID]],Suppliers!$A$2:$D$6,4,FALSE)</f>
        <v>18</v>
      </c>
      <c r="M32">
        <f>Table1[[#This Row],[Actual Delivery]]-Table1[[#This Row],[Order Date]]-Table1[[#This Row],[std Lead time]]</f>
        <v>0</v>
      </c>
      <c r="N32">
        <f>IF(AND(Table1[[#This Row],[Status]] = "Delivered", Table1[[#This Row],[Actual Delivery]] &lt;= Table1[[#This Row],[Promised Delivery]],Table1[[#This Row],[FillRate]]&gt;=0.95),1,0)</f>
        <v>0</v>
      </c>
      <c r="O32" t="str">
        <f>VLOOKUP(B32,Products!$A$2:$D$9,3,FALSE)</f>
        <v>Packaging</v>
      </c>
    </row>
    <row r="33" spans="1:15" x14ac:dyDescent="0.25">
      <c r="A33" s="15" t="s">
        <v>59</v>
      </c>
      <c r="B33" s="5" t="s">
        <v>16</v>
      </c>
      <c r="C33" s="5" t="s">
        <v>31</v>
      </c>
      <c r="D33" s="5" t="s">
        <v>28</v>
      </c>
      <c r="E33" s="6">
        <v>45493</v>
      </c>
      <c r="F33" s="21">
        <v>45498</v>
      </c>
      <c r="G33" s="21">
        <v>45496</v>
      </c>
      <c r="H33" s="5">
        <v>1026</v>
      </c>
      <c r="I33" s="5">
        <v>827</v>
      </c>
      <c r="J33" s="4" t="s">
        <v>14</v>
      </c>
      <c r="K33">
        <f>Table1[[#This Row],[Delivered Qty]]/Table1[[#This Row],[Ordered Qty]]</f>
        <v>0.80604288499025345</v>
      </c>
      <c r="L33">
        <f>VLOOKUP(Table1[[#This Row],[Supplier ID]],Suppliers!$A$2:$D$6,4,FALSE)</f>
        <v>5</v>
      </c>
      <c r="M33">
        <f>Table1[[#This Row],[Actual Delivery]]-Table1[[#This Row],[Order Date]]-Table1[[#This Row],[std Lead time]]</f>
        <v>-2</v>
      </c>
      <c r="N33">
        <f>IF(AND(Table1[[#This Row],[Status]] = "Delivered", Table1[[#This Row],[Actual Delivery]] &lt;= Table1[[#This Row],[Promised Delivery]],Table1[[#This Row],[FillRate]]&gt;=0.95),1,0)</f>
        <v>0</v>
      </c>
      <c r="O33" t="str">
        <f>VLOOKUP(B33,Products!$A$2:$D$9,3,FALSE)</f>
        <v>Packaging</v>
      </c>
    </row>
    <row r="34" spans="1:15" x14ac:dyDescent="0.25">
      <c r="A34" s="14" t="s">
        <v>60</v>
      </c>
      <c r="B34" s="2" t="s">
        <v>20</v>
      </c>
      <c r="C34" s="2" t="s">
        <v>17</v>
      </c>
      <c r="D34" s="2" t="s">
        <v>28</v>
      </c>
      <c r="E34" s="3">
        <v>45493</v>
      </c>
      <c r="F34" s="20">
        <v>45499</v>
      </c>
      <c r="G34" s="20">
        <v>45499</v>
      </c>
      <c r="H34" s="2">
        <v>1357</v>
      </c>
      <c r="I34" s="2">
        <v>1292</v>
      </c>
      <c r="J34" s="4" t="s">
        <v>14</v>
      </c>
      <c r="K34">
        <f>Table1[[#This Row],[Delivered Qty]]/Table1[[#This Row],[Ordered Qty]]</f>
        <v>0.95210022107590275</v>
      </c>
      <c r="L34">
        <f>VLOOKUP(Table1[[#This Row],[Supplier ID]],Suppliers!$A$2:$D$6,4,FALSE)</f>
        <v>6</v>
      </c>
      <c r="M34">
        <f>Table1[[#This Row],[Actual Delivery]]-Table1[[#This Row],[Order Date]]-Table1[[#This Row],[std Lead time]]</f>
        <v>0</v>
      </c>
      <c r="N34">
        <f>IF(AND(Table1[[#This Row],[Status]] = "Delivered", Table1[[#This Row],[Actual Delivery]] &lt;= Table1[[#This Row],[Promised Delivery]],Table1[[#This Row],[FillRate]]&gt;=0.95),1,0)</f>
        <v>1</v>
      </c>
      <c r="O34" t="str">
        <f>VLOOKUP(B34,Products!$A$2:$D$9,3,FALSE)</f>
        <v>Raw Material</v>
      </c>
    </row>
    <row r="35" spans="1:15" x14ac:dyDescent="0.25">
      <c r="A35" s="15" t="s">
        <v>61</v>
      </c>
      <c r="B35" s="5" t="s">
        <v>37</v>
      </c>
      <c r="C35" s="5" t="s">
        <v>31</v>
      </c>
      <c r="D35" s="5" t="s">
        <v>23</v>
      </c>
      <c r="E35" s="6">
        <v>45481</v>
      </c>
      <c r="F35" s="21">
        <v>45486</v>
      </c>
      <c r="G35" s="21">
        <v>45486</v>
      </c>
      <c r="H35" s="5">
        <v>1521</v>
      </c>
      <c r="I35" s="5">
        <v>1414</v>
      </c>
      <c r="J35" s="4" t="s">
        <v>14</v>
      </c>
      <c r="K35">
        <f>Table1[[#This Row],[Delivered Qty]]/Table1[[#This Row],[Ordered Qty]]</f>
        <v>0.92965154503616043</v>
      </c>
      <c r="L35">
        <f>VLOOKUP(Table1[[#This Row],[Supplier ID]],Suppliers!$A$2:$D$6,4,FALSE)</f>
        <v>5</v>
      </c>
      <c r="M35">
        <f>Table1[[#This Row],[Actual Delivery]]-Table1[[#This Row],[Order Date]]-Table1[[#This Row],[std Lead time]]</f>
        <v>0</v>
      </c>
      <c r="N35">
        <f>IF(AND(Table1[[#This Row],[Status]] = "Delivered", Table1[[#This Row],[Actual Delivery]] &lt;= Table1[[#This Row],[Promised Delivery]],Table1[[#This Row],[FillRate]]&gt;=0.95),1,0)</f>
        <v>0</v>
      </c>
      <c r="O35" t="str">
        <f>VLOOKUP(B35,Products!$A$2:$D$9,3,FALSE)</f>
        <v>Raw Material</v>
      </c>
    </row>
    <row r="36" spans="1:15" x14ac:dyDescent="0.25">
      <c r="A36" s="14" t="s">
        <v>62</v>
      </c>
      <c r="B36" s="2" t="s">
        <v>30</v>
      </c>
      <c r="C36" s="2" t="s">
        <v>26</v>
      </c>
      <c r="D36" s="2" t="s">
        <v>28</v>
      </c>
      <c r="E36" s="3">
        <v>45488</v>
      </c>
      <c r="F36" s="20">
        <v>45495</v>
      </c>
      <c r="G36" s="20">
        <v>45493</v>
      </c>
      <c r="H36" s="2">
        <v>1236</v>
      </c>
      <c r="I36" s="2">
        <v>1145</v>
      </c>
      <c r="J36" s="4" t="s">
        <v>14</v>
      </c>
      <c r="K36">
        <f>Table1[[#This Row],[Delivered Qty]]/Table1[[#This Row],[Ordered Qty]]</f>
        <v>0.9263754045307443</v>
      </c>
      <c r="L36">
        <f>VLOOKUP(Table1[[#This Row],[Supplier ID]],Suppliers!$A$2:$D$6,4,FALSE)</f>
        <v>7</v>
      </c>
      <c r="M36">
        <f>Table1[[#This Row],[Actual Delivery]]-Table1[[#This Row],[Order Date]]-Table1[[#This Row],[std Lead time]]</f>
        <v>-2</v>
      </c>
      <c r="N36">
        <f>IF(AND(Table1[[#This Row],[Status]] = "Delivered", Table1[[#This Row],[Actual Delivery]] &lt;= Table1[[#This Row],[Promised Delivery]],Table1[[#This Row],[FillRate]]&gt;=0.95),1,0)</f>
        <v>0</v>
      </c>
      <c r="O36" t="str">
        <f>VLOOKUP(B36,Products!$A$2:$D$9,3,FALSE)</f>
        <v>Finished Goods</v>
      </c>
    </row>
    <row r="37" spans="1:15" x14ac:dyDescent="0.25">
      <c r="A37" s="15" t="s">
        <v>63</v>
      </c>
      <c r="B37" s="5" t="s">
        <v>30</v>
      </c>
      <c r="C37" s="5" t="s">
        <v>26</v>
      </c>
      <c r="D37" s="5" t="s">
        <v>13</v>
      </c>
      <c r="E37" s="6">
        <v>45485</v>
      </c>
      <c r="F37" s="21">
        <v>45492</v>
      </c>
      <c r="G37" s="21">
        <v>45492</v>
      </c>
      <c r="H37" s="5">
        <v>1640</v>
      </c>
      <c r="I37" s="5">
        <v>1525</v>
      </c>
      <c r="J37" s="4" t="s">
        <v>14</v>
      </c>
      <c r="K37">
        <f>Table1[[#This Row],[Delivered Qty]]/Table1[[#This Row],[Ordered Qty]]</f>
        <v>0.92987804878048785</v>
      </c>
      <c r="L37">
        <f>VLOOKUP(Table1[[#This Row],[Supplier ID]],Suppliers!$A$2:$D$6,4,FALSE)</f>
        <v>7</v>
      </c>
      <c r="M37">
        <f>Table1[[#This Row],[Actual Delivery]]-Table1[[#This Row],[Order Date]]-Table1[[#This Row],[std Lead time]]</f>
        <v>0</v>
      </c>
      <c r="N37">
        <f>IF(AND(Table1[[#This Row],[Status]] = "Delivered", Table1[[#This Row],[Actual Delivery]] &lt;= Table1[[#This Row],[Promised Delivery]],Table1[[#This Row],[FillRate]]&gt;=0.95),1,0)</f>
        <v>0</v>
      </c>
      <c r="O37" t="str">
        <f>VLOOKUP(B37,Products!$A$2:$D$9,3,FALSE)</f>
        <v>Finished Goods</v>
      </c>
    </row>
    <row r="38" spans="1:15" x14ac:dyDescent="0.25">
      <c r="A38" s="14" t="s">
        <v>64</v>
      </c>
      <c r="B38" s="2" t="s">
        <v>11</v>
      </c>
      <c r="C38" s="2" t="s">
        <v>17</v>
      </c>
      <c r="D38" s="2" t="s">
        <v>23</v>
      </c>
      <c r="E38" s="3">
        <v>45495</v>
      </c>
      <c r="F38" s="20">
        <v>45501</v>
      </c>
      <c r="G38" s="20">
        <v>45503</v>
      </c>
      <c r="H38" s="2">
        <v>741</v>
      </c>
      <c r="I38" s="2">
        <v>596</v>
      </c>
      <c r="J38" s="4" t="s">
        <v>14</v>
      </c>
      <c r="K38">
        <f>Table1[[#This Row],[Delivered Qty]]/Table1[[#This Row],[Ordered Qty]]</f>
        <v>0.80431848852901489</v>
      </c>
      <c r="L38">
        <f>VLOOKUP(Table1[[#This Row],[Supplier ID]],Suppliers!$A$2:$D$6,4,FALSE)</f>
        <v>6</v>
      </c>
      <c r="M38">
        <f>Table1[[#This Row],[Actual Delivery]]-Table1[[#This Row],[Order Date]]-Table1[[#This Row],[std Lead time]]</f>
        <v>2</v>
      </c>
      <c r="N38">
        <f>IF(AND(Table1[[#This Row],[Status]] = "Delivered", Table1[[#This Row],[Actual Delivery]] &lt;= Table1[[#This Row],[Promised Delivery]],Table1[[#This Row],[FillRate]]&gt;=0.95),1,0)</f>
        <v>0</v>
      </c>
      <c r="O38" t="str">
        <f>VLOOKUP(B38,Products!$A$2:$D$9,3,FALSE)</f>
        <v>Packaging</v>
      </c>
    </row>
    <row r="39" spans="1:15" x14ac:dyDescent="0.25">
      <c r="A39" s="15" t="s">
        <v>65</v>
      </c>
      <c r="B39" s="5" t="s">
        <v>16</v>
      </c>
      <c r="C39" s="5" t="s">
        <v>17</v>
      </c>
      <c r="D39" s="5" t="s">
        <v>13</v>
      </c>
      <c r="E39" s="6">
        <v>45482</v>
      </c>
      <c r="F39" s="21">
        <v>45488</v>
      </c>
      <c r="G39" s="21">
        <v>45488</v>
      </c>
      <c r="H39" s="5">
        <v>902</v>
      </c>
      <c r="I39" s="5">
        <v>743</v>
      </c>
      <c r="J39" s="4" t="s">
        <v>14</v>
      </c>
      <c r="K39">
        <f>Table1[[#This Row],[Delivered Qty]]/Table1[[#This Row],[Ordered Qty]]</f>
        <v>0.82372505543237251</v>
      </c>
      <c r="L39">
        <f>VLOOKUP(Table1[[#This Row],[Supplier ID]],Suppliers!$A$2:$D$6,4,FALSE)</f>
        <v>6</v>
      </c>
      <c r="M39">
        <f>Table1[[#This Row],[Actual Delivery]]-Table1[[#This Row],[Order Date]]-Table1[[#This Row],[std Lead time]]</f>
        <v>0</v>
      </c>
      <c r="N39">
        <f>IF(AND(Table1[[#This Row],[Status]] = "Delivered", Table1[[#This Row],[Actual Delivery]] &lt;= Table1[[#This Row],[Promised Delivery]],Table1[[#This Row],[FillRate]]&gt;=0.95),1,0)</f>
        <v>0</v>
      </c>
      <c r="O39" t="str">
        <f>VLOOKUP(B39,Products!$A$2:$D$9,3,FALSE)</f>
        <v>Packaging</v>
      </c>
    </row>
    <row r="40" spans="1:15" x14ac:dyDescent="0.25">
      <c r="A40" s="14" t="s">
        <v>66</v>
      </c>
      <c r="B40" s="2" t="s">
        <v>37</v>
      </c>
      <c r="C40" s="2" t="s">
        <v>17</v>
      </c>
      <c r="D40" s="2" t="s">
        <v>18</v>
      </c>
      <c r="E40" s="3">
        <v>45482</v>
      </c>
      <c r="F40" s="20">
        <v>45488</v>
      </c>
      <c r="G40" s="20">
        <v>45487</v>
      </c>
      <c r="H40" s="2">
        <v>1898</v>
      </c>
      <c r="I40" s="2">
        <v>1760</v>
      </c>
      <c r="J40" s="4" t="s">
        <v>14</v>
      </c>
      <c r="K40">
        <f>Table1[[#This Row],[Delivered Qty]]/Table1[[#This Row],[Ordered Qty]]</f>
        <v>0.92729188619599578</v>
      </c>
      <c r="L40">
        <f>VLOOKUP(Table1[[#This Row],[Supplier ID]],Suppliers!$A$2:$D$6,4,FALSE)</f>
        <v>6</v>
      </c>
      <c r="M40">
        <f>Table1[[#This Row],[Actual Delivery]]-Table1[[#This Row],[Order Date]]-Table1[[#This Row],[std Lead time]]</f>
        <v>-1</v>
      </c>
      <c r="N40">
        <f>IF(AND(Table1[[#This Row],[Status]] = "Delivered", Table1[[#This Row],[Actual Delivery]] &lt;= Table1[[#This Row],[Promised Delivery]],Table1[[#This Row],[FillRate]]&gt;=0.95),1,0)</f>
        <v>0</v>
      </c>
      <c r="O40" t="str">
        <f>VLOOKUP(B40,Products!$A$2:$D$9,3,FALSE)</f>
        <v>Raw Material</v>
      </c>
    </row>
    <row r="41" spans="1:15" x14ac:dyDescent="0.25">
      <c r="A41" s="15" t="s">
        <v>67</v>
      </c>
      <c r="B41" s="5" t="s">
        <v>11</v>
      </c>
      <c r="C41" s="5" t="s">
        <v>12</v>
      </c>
      <c r="D41" s="5" t="s">
        <v>13</v>
      </c>
      <c r="E41" s="6">
        <v>45494</v>
      </c>
      <c r="F41" s="21">
        <v>45512</v>
      </c>
      <c r="G41" s="21">
        <v>45511</v>
      </c>
      <c r="H41" s="5">
        <v>1329</v>
      </c>
      <c r="I41" s="5">
        <v>1242</v>
      </c>
      <c r="J41" s="4" t="s">
        <v>14</v>
      </c>
      <c r="K41">
        <f>Table1[[#This Row],[Delivered Qty]]/Table1[[#This Row],[Ordered Qty]]</f>
        <v>0.93453724604966137</v>
      </c>
      <c r="L41">
        <f>VLOOKUP(Table1[[#This Row],[Supplier ID]],Suppliers!$A$2:$D$6,4,FALSE)</f>
        <v>18</v>
      </c>
      <c r="M41">
        <f>Table1[[#This Row],[Actual Delivery]]-Table1[[#This Row],[Order Date]]-Table1[[#This Row],[std Lead time]]</f>
        <v>-1</v>
      </c>
      <c r="N41">
        <f>IF(AND(Table1[[#This Row],[Status]] = "Delivered", Table1[[#This Row],[Actual Delivery]] &lt;= Table1[[#This Row],[Promised Delivery]],Table1[[#This Row],[FillRate]]&gt;=0.95),1,0)</f>
        <v>0</v>
      </c>
      <c r="O41" t="str">
        <f>VLOOKUP(B41,Products!$A$2:$D$9,3,FALSE)</f>
        <v>Packaging</v>
      </c>
    </row>
    <row r="42" spans="1:15" x14ac:dyDescent="0.25">
      <c r="A42" s="14" t="s">
        <v>68</v>
      </c>
      <c r="B42" s="2" t="s">
        <v>11</v>
      </c>
      <c r="C42" s="2" t="s">
        <v>26</v>
      </c>
      <c r="D42" s="2" t="s">
        <v>28</v>
      </c>
      <c r="E42" s="3">
        <v>45496</v>
      </c>
      <c r="F42" s="20">
        <v>45503</v>
      </c>
      <c r="G42" s="20">
        <v>45502</v>
      </c>
      <c r="H42" s="2">
        <v>1392</v>
      </c>
      <c r="I42" s="2">
        <v>1254</v>
      </c>
      <c r="J42" s="4" t="s">
        <v>14</v>
      </c>
      <c r="K42">
        <f>Table1[[#This Row],[Delivered Qty]]/Table1[[#This Row],[Ordered Qty]]</f>
        <v>0.90086206896551724</v>
      </c>
      <c r="L42">
        <f>VLOOKUP(Table1[[#This Row],[Supplier ID]],Suppliers!$A$2:$D$6,4,FALSE)</f>
        <v>7</v>
      </c>
      <c r="M42">
        <f>Table1[[#This Row],[Actual Delivery]]-Table1[[#This Row],[Order Date]]-Table1[[#This Row],[std Lead time]]</f>
        <v>-1</v>
      </c>
      <c r="N42">
        <f>IF(AND(Table1[[#This Row],[Status]] = "Delivered", Table1[[#This Row],[Actual Delivery]] &lt;= Table1[[#This Row],[Promised Delivery]],Table1[[#This Row],[FillRate]]&gt;=0.95),1,0)</f>
        <v>0</v>
      </c>
      <c r="O42" t="str">
        <f>VLOOKUP(B42,Products!$A$2:$D$9,3,FALSE)</f>
        <v>Packaging</v>
      </c>
    </row>
    <row r="43" spans="1:15" x14ac:dyDescent="0.25">
      <c r="A43" s="15" t="s">
        <v>69</v>
      </c>
      <c r="B43" s="5" t="s">
        <v>22</v>
      </c>
      <c r="C43" s="5" t="s">
        <v>31</v>
      </c>
      <c r="D43" s="5" t="s">
        <v>28</v>
      </c>
      <c r="E43" s="6">
        <v>45483</v>
      </c>
      <c r="F43" s="21">
        <v>45488</v>
      </c>
      <c r="G43" s="21">
        <v>45489</v>
      </c>
      <c r="H43" s="5">
        <v>932</v>
      </c>
      <c r="I43" s="5">
        <v>858</v>
      </c>
      <c r="J43" s="4" t="s">
        <v>14</v>
      </c>
      <c r="K43">
        <f>Table1[[#This Row],[Delivered Qty]]/Table1[[#This Row],[Ordered Qty]]</f>
        <v>0.92060085836909866</v>
      </c>
      <c r="L43">
        <f>VLOOKUP(Table1[[#This Row],[Supplier ID]],Suppliers!$A$2:$D$6,4,FALSE)</f>
        <v>5</v>
      </c>
      <c r="M43">
        <f>Table1[[#This Row],[Actual Delivery]]-Table1[[#This Row],[Order Date]]-Table1[[#This Row],[std Lead time]]</f>
        <v>1</v>
      </c>
      <c r="N43">
        <f>IF(AND(Table1[[#This Row],[Status]] = "Delivered", Table1[[#This Row],[Actual Delivery]] &lt;= Table1[[#This Row],[Promised Delivery]],Table1[[#This Row],[FillRate]]&gt;=0.95),1,0)</f>
        <v>0</v>
      </c>
      <c r="O43" t="str">
        <f>VLOOKUP(B43,Products!$A$2:$D$9,3,FALSE)</f>
        <v>Finished Goods</v>
      </c>
    </row>
    <row r="44" spans="1:15" x14ac:dyDescent="0.25">
      <c r="A44" s="14" t="s">
        <v>70</v>
      </c>
      <c r="B44" s="2" t="s">
        <v>20</v>
      </c>
      <c r="C44" s="2" t="s">
        <v>26</v>
      </c>
      <c r="D44" s="2" t="s">
        <v>23</v>
      </c>
      <c r="E44" s="3">
        <v>45498</v>
      </c>
      <c r="F44" s="20">
        <v>45505</v>
      </c>
      <c r="G44" s="20">
        <v>45514</v>
      </c>
      <c r="H44" s="2">
        <v>684</v>
      </c>
      <c r="I44" s="2">
        <v>674</v>
      </c>
      <c r="J44" s="4" t="s">
        <v>14</v>
      </c>
      <c r="K44">
        <f>Table1[[#This Row],[Delivered Qty]]/Table1[[#This Row],[Ordered Qty]]</f>
        <v>0.98538011695906436</v>
      </c>
      <c r="L44">
        <f>VLOOKUP(Table1[[#This Row],[Supplier ID]],Suppliers!$A$2:$D$6,4,FALSE)</f>
        <v>7</v>
      </c>
      <c r="M44">
        <f>Table1[[#This Row],[Actual Delivery]]-Table1[[#This Row],[Order Date]]-Table1[[#This Row],[std Lead time]]</f>
        <v>9</v>
      </c>
      <c r="N44">
        <f>IF(AND(Table1[[#This Row],[Status]] = "Delivered", Table1[[#This Row],[Actual Delivery]] &lt;= Table1[[#This Row],[Promised Delivery]],Table1[[#This Row],[FillRate]]&gt;=0.95),1,0)</f>
        <v>0</v>
      </c>
      <c r="O44" t="str">
        <f>VLOOKUP(B44,Products!$A$2:$D$9,3,FALSE)</f>
        <v>Raw Material</v>
      </c>
    </row>
    <row r="45" spans="1:15" x14ac:dyDescent="0.25">
      <c r="A45" s="15" t="s">
        <v>71</v>
      </c>
      <c r="B45" s="5" t="s">
        <v>33</v>
      </c>
      <c r="C45" s="5" t="s">
        <v>57</v>
      </c>
      <c r="D45" s="5" t="s">
        <v>28</v>
      </c>
      <c r="E45" s="6">
        <v>45479</v>
      </c>
      <c r="F45" s="21">
        <v>45500</v>
      </c>
      <c r="G45" s="21">
        <v>45504</v>
      </c>
      <c r="H45" s="5">
        <v>1842</v>
      </c>
      <c r="I45" s="5">
        <v>1781</v>
      </c>
      <c r="J45" s="4" t="s">
        <v>14</v>
      </c>
      <c r="K45">
        <f>Table1[[#This Row],[Delivered Qty]]/Table1[[#This Row],[Ordered Qty]]</f>
        <v>0.96688382193268185</v>
      </c>
      <c r="L45">
        <f>VLOOKUP(Table1[[#This Row],[Supplier ID]],Suppliers!$A$2:$D$6,4,FALSE)</f>
        <v>21</v>
      </c>
      <c r="M45">
        <f>Table1[[#This Row],[Actual Delivery]]-Table1[[#This Row],[Order Date]]-Table1[[#This Row],[std Lead time]]</f>
        <v>4</v>
      </c>
      <c r="N45">
        <f>IF(AND(Table1[[#This Row],[Status]] = "Delivered", Table1[[#This Row],[Actual Delivery]] &lt;= Table1[[#This Row],[Promised Delivery]],Table1[[#This Row],[FillRate]]&gt;=0.95),1,0)</f>
        <v>0</v>
      </c>
      <c r="O45" t="str">
        <f>VLOOKUP(B45,Products!$A$2:$D$9,3,FALSE)</f>
        <v>Raw Material</v>
      </c>
    </row>
    <row r="46" spans="1:15" x14ac:dyDescent="0.25">
      <c r="A46" s="14" t="s">
        <v>72</v>
      </c>
      <c r="B46" s="2" t="s">
        <v>20</v>
      </c>
      <c r="C46" s="2" t="s">
        <v>12</v>
      </c>
      <c r="D46" s="2" t="s">
        <v>13</v>
      </c>
      <c r="E46" s="3">
        <v>45499</v>
      </c>
      <c r="F46" s="20">
        <v>45517</v>
      </c>
      <c r="G46" s="20">
        <v>45515</v>
      </c>
      <c r="H46" s="2">
        <v>1958</v>
      </c>
      <c r="I46" s="2">
        <v>1854</v>
      </c>
      <c r="J46" s="4" t="s">
        <v>14</v>
      </c>
      <c r="K46">
        <f>Table1[[#This Row],[Delivered Qty]]/Table1[[#This Row],[Ordered Qty]]</f>
        <v>0.94688457609805921</v>
      </c>
      <c r="L46">
        <f>VLOOKUP(Table1[[#This Row],[Supplier ID]],Suppliers!$A$2:$D$6,4,FALSE)</f>
        <v>18</v>
      </c>
      <c r="M46">
        <f>Table1[[#This Row],[Actual Delivery]]-Table1[[#This Row],[Order Date]]-Table1[[#This Row],[std Lead time]]</f>
        <v>-2</v>
      </c>
      <c r="N46">
        <f>IF(AND(Table1[[#This Row],[Status]] = "Delivered", Table1[[#This Row],[Actual Delivery]] &lt;= Table1[[#This Row],[Promised Delivery]],Table1[[#This Row],[FillRate]]&gt;=0.95),1,0)</f>
        <v>0</v>
      </c>
      <c r="O46" t="str">
        <f>VLOOKUP(B46,Products!$A$2:$D$9,3,FALSE)</f>
        <v>Raw Material</v>
      </c>
    </row>
    <row r="47" spans="1:15" x14ac:dyDescent="0.25">
      <c r="A47" s="15" t="s">
        <v>73</v>
      </c>
      <c r="B47" s="5" t="s">
        <v>20</v>
      </c>
      <c r="C47" s="5" t="s">
        <v>57</v>
      </c>
      <c r="D47" s="5" t="s">
        <v>23</v>
      </c>
      <c r="E47" s="6">
        <v>45483</v>
      </c>
      <c r="F47" s="21">
        <v>45504</v>
      </c>
      <c r="G47" s="21">
        <v>45504</v>
      </c>
      <c r="H47" s="5">
        <v>595</v>
      </c>
      <c r="I47" s="5">
        <v>559</v>
      </c>
      <c r="J47" s="4" t="s">
        <v>14</v>
      </c>
      <c r="K47">
        <f>Table1[[#This Row],[Delivered Qty]]/Table1[[#This Row],[Ordered Qty]]</f>
        <v>0.93949579831932772</v>
      </c>
      <c r="L47">
        <f>VLOOKUP(Table1[[#This Row],[Supplier ID]],Suppliers!$A$2:$D$6,4,FALSE)</f>
        <v>21</v>
      </c>
      <c r="M47">
        <f>Table1[[#This Row],[Actual Delivery]]-Table1[[#This Row],[Order Date]]-Table1[[#This Row],[std Lead time]]</f>
        <v>0</v>
      </c>
      <c r="N47">
        <f>IF(AND(Table1[[#This Row],[Status]] = "Delivered", Table1[[#This Row],[Actual Delivery]] &lt;= Table1[[#This Row],[Promised Delivery]],Table1[[#This Row],[FillRate]]&gt;=0.95),1,0)</f>
        <v>0</v>
      </c>
      <c r="O47" t="str">
        <f>VLOOKUP(B47,Products!$A$2:$D$9,3,FALSE)</f>
        <v>Raw Material</v>
      </c>
    </row>
    <row r="48" spans="1:15" x14ac:dyDescent="0.25">
      <c r="A48" s="14" t="s">
        <v>74</v>
      </c>
      <c r="B48" s="2" t="s">
        <v>37</v>
      </c>
      <c r="C48" s="2" t="s">
        <v>26</v>
      </c>
      <c r="D48" s="2" t="s">
        <v>23</v>
      </c>
      <c r="E48" s="3">
        <v>45485</v>
      </c>
      <c r="F48" s="20">
        <v>45492</v>
      </c>
      <c r="G48" s="20">
        <v>45492</v>
      </c>
      <c r="H48" s="2">
        <v>878</v>
      </c>
      <c r="I48" s="2">
        <v>872</v>
      </c>
      <c r="J48" s="4" t="s">
        <v>14</v>
      </c>
      <c r="K48">
        <f>Table1[[#This Row],[Delivered Qty]]/Table1[[#This Row],[Ordered Qty]]</f>
        <v>0.99316628701594534</v>
      </c>
      <c r="L48">
        <f>VLOOKUP(Table1[[#This Row],[Supplier ID]],Suppliers!$A$2:$D$6,4,FALSE)</f>
        <v>7</v>
      </c>
      <c r="M48">
        <f>Table1[[#This Row],[Actual Delivery]]-Table1[[#This Row],[Order Date]]-Table1[[#This Row],[std Lead time]]</f>
        <v>0</v>
      </c>
      <c r="N48">
        <f>IF(AND(Table1[[#This Row],[Status]] = "Delivered", Table1[[#This Row],[Actual Delivery]] &lt;= Table1[[#This Row],[Promised Delivery]],Table1[[#This Row],[FillRate]]&gt;=0.95),1,0)</f>
        <v>1</v>
      </c>
      <c r="O48" t="str">
        <f>VLOOKUP(B48,Products!$A$2:$D$9,3,FALSE)</f>
        <v>Raw Material</v>
      </c>
    </row>
    <row r="49" spans="1:15" x14ac:dyDescent="0.25">
      <c r="A49" s="15" t="s">
        <v>75</v>
      </c>
      <c r="B49" s="5" t="s">
        <v>16</v>
      </c>
      <c r="C49" s="5" t="s">
        <v>12</v>
      </c>
      <c r="D49" s="5" t="s">
        <v>13</v>
      </c>
      <c r="E49" s="6">
        <v>45492</v>
      </c>
      <c r="F49" s="21">
        <v>45510</v>
      </c>
      <c r="G49" s="21">
        <v>45510</v>
      </c>
      <c r="H49" s="5">
        <v>1089</v>
      </c>
      <c r="I49" s="5">
        <v>932</v>
      </c>
      <c r="J49" s="4" t="s">
        <v>14</v>
      </c>
      <c r="K49">
        <f>Table1[[#This Row],[Delivered Qty]]/Table1[[#This Row],[Ordered Qty]]</f>
        <v>0.85583103764921942</v>
      </c>
      <c r="L49">
        <f>VLOOKUP(Table1[[#This Row],[Supplier ID]],Suppliers!$A$2:$D$6,4,FALSE)</f>
        <v>18</v>
      </c>
      <c r="M49">
        <f>Table1[[#This Row],[Actual Delivery]]-Table1[[#This Row],[Order Date]]-Table1[[#This Row],[std Lead time]]</f>
        <v>0</v>
      </c>
      <c r="N49">
        <f>IF(AND(Table1[[#This Row],[Status]] = "Delivered", Table1[[#This Row],[Actual Delivery]] &lt;= Table1[[#This Row],[Promised Delivery]],Table1[[#This Row],[FillRate]]&gt;=0.95),1,0)</f>
        <v>0</v>
      </c>
      <c r="O49" t="str">
        <f>VLOOKUP(B49,Products!$A$2:$D$9,3,FALSE)</f>
        <v>Packaging</v>
      </c>
    </row>
    <row r="50" spans="1:15" x14ac:dyDescent="0.25">
      <c r="A50" s="14" t="s">
        <v>76</v>
      </c>
      <c r="B50" s="2" t="s">
        <v>30</v>
      </c>
      <c r="C50" s="2" t="s">
        <v>57</v>
      </c>
      <c r="D50" s="2" t="s">
        <v>28</v>
      </c>
      <c r="E50" s="3">
        <v>45486</v>
      </c>
      <c r="F50" s="20">
        <v>45507</v>
      </c>
      <c r="G50" s="20">
        <v>45507</v>
      </c>
      <c r="H50" s="2">
        <v>1093</v>
      </c>
      <c r="I50" s="2">
        <v>983</v>
      </c>
      <c r="J50" s="4" t="s">
        <v>14</v>
      </c>
      <c r="K50">
        <f>Table1[[#This Row],[Delivered Qty]]/Table1[[#This Row],[Ordered Qty]]</f>
        <v>0.89935956084172008</v>
      </c>
      <c r="L50">
        <f>VLOOKUP(Table1[[#This Row],[Supplier ID]],Suppliers!$A$2:$D$6,4,FALSE)</f>
        <v>21</v>
      </c>
      <c r="M50">
        <f>Table1[[#This Row],[Actual Delivery]]-Table1[[#This Row],[Order Date]]-Table1[[#This Row],[std Lead time]]</f>
        <v>0</v>
      </c>
      <c r="N50">
        <f>IF(AND(Table1[[#This Row],[Status]] = "Delivered", Table1[[#This Row],[Actual Delivery]] &lt;= Table1[[#This Row],[Promised Delivery]],Table1[[#This Row],[FillRate]]&gt;=0.95),1,0)</f>
        <v>0</v>
      </c>
      <c r="O50" t="str">
        <f>VLOOKUP(B50,Products!$A$2:$D$9,3,FALSE)</f>
        <v>Finished Goods</v>
      </c>
    </row>
    <row r="51" spans="1:15" x14ac:dyDescent="0.25">
      <c r="A51" s="15" t="s">
        <v>77</v>
      </c>
      <c r="B51" s="5" t="s">
        <v>20</v>
      </c>
      <c r="C51" s="5" t="s">
        <v>12</v>
      </c>
      <c r="D51" s="5" t="s">
        <v>18</v>
      </c>
      <c r="E51" s="6">
        <v>45476</v>
      </c>
      <c r="F51" s="21">
        <v>45494</v>
      </c>
      <c r="G51" s="21">
        <v>45494</v>
      </c>
      <c r="H51" s="5">
        <v>1936</v>
      </c>
      <c r="I51" s="5">
        <v>1766</v>
      </c>
      <c r="J51" s="4" t="s">
        <v>14</v>
      </c>
      <c r="K51">
        <f>Table1[[#This Row],[Delivered Qty]]/Table1[[#This Row],[Ordered Qty]]</f>
        <v>0.91219008264462809</v>
      </c>
      <c r="L51">
        <f>VLOOKUP(Table1[[#This Row],[Supplier ID]],Suppliers!$A$2:$D$6,4,FALSE)</f>
        <v>18</v>
      </c>
      <c r="M51">
        <f>Table1[[#This Row],[Actual Delivery]]-Table1[[#This Row],[Order Date]]-Table1[[#This Row],[std Lead time]]</f>
        <v>0</v>
      </c>
      <c r="N51">
        <f>IF(AND(Table1[[#This Row],[Status]] = "Delivered", Table1[[#This Row],[Actual Delivery]] &lt;= Table1[[#This Row],[Promised Delivery]],Table1[[#This Row],[FillRate]]&gt;=0.95),1,0)</f>
        <v>0</v>
      </c>
      <c r="O51" t="str">
        <f>VLOOKUP(B51,Products!$A$2:$D$9,3,FALSE)</f>
        <v>Raw Material</v>
      </c>
    </row>
    <row r="52" spans="1:15" x14ac:dyDescent="0.25">
      <c r="A52" s="14" t="s">
        <v>78</v>
      </c>
      <c r="B52" s="2" t="s">
        <v>37</v>
      </c>
      <c r="C52" s="2" t="s">
        <v>17</v>
      </c>
      <c r="D52" s="2" t="s">
        <v>23</v>
      </c>
      <c r="E52" s="3">
        <v>45495</v>
      </c>
      <c r="F52" s="20">
        <v>45501</v>
      </c>
      <c r="G52" s="20">
        <v>45501</v>
      </c>
      <c r="H52" s="2">
        <v>805</v>
      </c>
      <c r="I52" s="2">
        <v>769</v>
      </c>
      <c r="J52" s="4" t="s">
        <v>14</v>
      </c>
      <c r="K52">
        <f>Table1[[#This Row],[Delivered Qty]]/Table1[[#This Row],[Ordered Qty]]</f>
        <v>0.95527950310559007</v>
      </c>
      <c r="L52">
        <f>VLOOKUP(Table1[[#This Row],[Supplier ID]],Suppliers!$A$2:$D$6,4,FALSE)</f>
        <v>6</v>
      </c>
      <c r="M52">
        <f>Table1[[#This Row],[Actual Delivery]]-Table1[[#This Row],[Order Date]]-Table1[[#This Row],[std Lead time]]</f>
        <v>0</v>
      </c>
      <c r="N52">
        <f>IF(AND(Table1[[#This Row],[Status]] = "Delivered", Table1[[#This Row],[Actual Delivery]] &lt;= Table1[[#This Row],[Promised Delivery]],Table1[[#This Row],[FillRate]]&gt;=0.95),1,0)</f>
        <v>1</v>
      </c>
      <c r="O52" t="str">
        <f>VLOOKUP(B52,Products!$A$2:$D$9,3,FALSE)</f>
        <v>Raw Material</v>
      </c>
    </row>
    <row r="53" spans="1:15" x14ac:dyDescent="0.25">
      <c r="A53" s="15" t="s">
        <v>79</v>
      </c>
      <c r="B53" s="5" t="s">
        <v>20</v>
      </c>
      <c r="C53" s="5" t="s">
        <v>57</v>
      </c>
      <c r="D53" s="5" t="s">
        <v>18</v>
      </c>
      <c r="E53" s="6">
        <v>45495</v>
      </c>
      <c r="F53" s="21">
        <v>45516</v>
      </c>
      <c r="G53" s="21">
        <v>45515</v>
      </c>
      <c r="H53" s="5">
        <v>1031</v>
      </c>
      <c r="I53" s="5">
        <v>984</v>
      </c>
      <c r="J53" s="4" t="s">
        <v>14</v>
      </c>
      <c r="K53">
        <f>Table1[[#This Row],[Delivered Qty]]/Table1[[#This Row],[Ordered Qty]]</f>
        <v>0.95441319107662459</v>
      </c>
      <c r="L53">
        <f>VLOOKUP(Table1[[#This Row],[Supplier ID]],Suppliers!$A$2:$D$6,4,FALSE)</f>
        <v>21</v>
      </c>
      <c r="M53">
        <f>Table1[[#This Row],[Actual Delivery]]-Table1[[#This Row],[Order Date]]-Table1[[#This Row],[std Lead time]]</f>
        <v>-1</v>
      </c>
      <c r="N53">
        <f>IF(AND(Table1[[#This Row],[Status]] = "Delivered", Table1[[#This Row],[Actual Delivery]] &lt;= Table1[[#This Row],[Promised Delivery]],Table1[[#This Row],[FillRate]]&gt;=0.95),1,0)</f>
        <v>1</v>
      </c>
      <c r="O53" t="str">
        <f>VLOOKUP(B53,Products!$A$2:$D$9,3,FALSE)</f>
        <v>Raw Material</v>
      </c>
    </row>
    <row r="54" spans="1:15" x14ac:dyDescent="0.25">
      <c r="A54" s="14" t="s">
        <v>80</v>
      </c>
      <c r="B54" s="2" t="s">
        <v>11</v>
      </c>
      <c r="C54" s="2" t="s">
        <v>12</v>
      </c>
      <c r="D54" s="2" t="s">
        <v>23</v>
      </c>
      <c r="E54" s="3">
        <v>45480</v>
      </c>
      <c r="F54" s="20">
        <v>45498</v>
      </c>
      <c r="G54" s="20">
        <v>45503</v>
      </c>
      <c r="H54" s="2">
        <v>1540</v>
      </c>
      <c r="I54" s="2">
        <v>1310</v>
      </c>
      <c r="J54" s="4" t="s">
        <v>14</v>
      </c>
      <c r="K54">
        <f>Table1[[#This Row],[Delivered Qty]]/Table1[[#This Row],[Ordered Qty]]</f>
        <v>0.85064935064935066</v>
      </c>
      <c r="L54">
        <f>VLOOKUP(Table1[[#This Row],[Supplier ID]],Suppliers!$A$2:$D$6,4,FALSE)</f>
        <v>18</v>
      </c>
      <c r="M54">
        <f>Table1[[#This Row],[Actual Delivery]]-Table1[[#This Row],[Order Date]]-Table1[[#This Row],[std Lead time]]</f>
        <v>5</v>
      </c>
      <c r="N54">
        <f>IF(AND(Table1[[#This Row],[Status]] = "Delivered", Table1[[#This Row],[Actual Delivery]] &lt;= Table1[[#This Row],[Promised Delivery]],Table1[[#This Row],[FillRate]]&gt;=0.95),1,0)</f>
        <v>0</v>
      </c>
      <c r="O54" t="str">
        <f>VLOOKUP(B54,Products!$A$2:$D$9,3,FALSE)</f>
        <v>Packaging</v>
      </c>
    </row>
    <row r="55" spans="1:15" x14ac:dyDescent="0.25">
      <c r="A55" s="15" t="s">
        <v>81</v>
      </c>
      <c r="B55" s="5" t="s">
        <v>44</v>
      </c>
      <c r="C55" s="5" t="s">
        <v>57</v>
      </c>
      <c r="D55" s="5" t="s">
        <v>13</v>
      </c>
      <c r="E55" s="6">
        <v>45490</v>
      </c>
      <c r="F55" s="21">
        <v>45511</v>
      </c>
      <c r="G55" s="21">
        <v>45517</v>
      </c>
      <c r="H55" s="5">
        <v>547</v>
      </c>
      <c r="I55" s="5">
        <v>528</v>
      </c>
      <c r="J55" s="4" t="s">
        <v>14</v>
      </c>
      <c r="K55">
        <f>Table1[[#This Row],[Delivered Qty]]/Table1[[#This Row],[Ordered Qty]]</f>
        <v>0.96526508226691043</v>
      </c>
      <c r="L55">
        <f>VLOOKUP(Table1[[#This Row],[Supplier ID]],Suppliers!$A$2:$D$6,4,FALSE)</f>
        <v>21</v>
      </c>
      <c r="M55">
        <f>Table1[[#This Row],[Actual Delivery]]-Table1[[#This Row],[Order Date]]-Table1[[#This Row],[std Lead time]]</f>
        <v>6</v>
      </c>
      <c r="N55">
        <f>IF(AND(Table1[[#This Row],[Status]] = "Delivered", Table1[[#This Row],[Actual Delivery]] &lt;= Table1[[#This Row],[Promised Delivery]],Table1[[#This Row],[FillRate]]&gt;=0.95),1,0)</f>
        <v>0</v>
      </c>
      <c r="O55" t="str">
        <f>VLOOKUP(B55,Products!$A$2:$D$9,3,FALSE)</f>
        <v>Finished Goods</v>
      </c>
    </row>
    <row r="56" spans="1:15" x14ac:dyDescent="0.25">
      <c r="A56" s="14" t="s">
        <v>82</v>
      </c>
      <c r="B56" s="2" t="s">
        <v>37</v>
      </c>
      <c r="C56" s="2" t="s">
        <v>17</v>
      </c>
      <c r="D56" s="2" t="s">
        <v>23</v>
      </c>
      <c r="E56" s="3">
        <v>45476</v>
      </c>
      <c r="F56" s="20">
        <v>45482</v>
      </c>
      <c r="G56" s="20">
        <v>45480</v>
      </c>
      <c r="H56" s="2">
        <v>1851</v>
      </c>
      <c r="I56" s="2">
        <v>1702</v>
      </c>
      <c r="J56" s="4" t="s">
        <v>14</v>
      </c>
      <c r="K56">
        <f>Table1[[#This Row],[Delivered Qty]]/Table1[[#This Row],[Ordered Qty]]</f>
        <v>0.91950297136682879</v>
      </c>
      <c r="L56">
        <f>VLOOKUP(Table1[[#This Row],[Supplier ID]],Suppliers!$A$2:$D$6,4,FALSE)</f>
        <v>6</v>
      </c>
      <c r="M56">
        <f>Table1[[#This Row],[Actual Delivery]]-Table1[[#This Row],[Order Date]]-Table1[[#This Row],[std Lead time]]</f>
        <v>-2</v>
      </c>
      <c r="N56">
        <f>IF(AND(Table1[[#This Row],[Status]] = "Delivered", Table1[[#This Row],[Actual Delivery]] &lt;= Table1[[#This Row],[Promised Delivery]],Table1[[#This Row],[FillRate]]&gt;=0.95),1,0)</f>
        <v>0</v>
      </c>
      <c r="O56" t="str">
        <f>VLOOKUP(B56,Products!$A$2:$D$9,3,FALSE)</f>
        <v>Raw Material</v>
      </c>
    </row>
    <row r="57" spans="1:15" x14ac:dyDescent="0.25">
      <c r="A57" s="15" t="s">
        <v>83</v>
      </c>
      <c r="B57" s="5" t="s">
        <v>11</v>
      </c>
      <c r="C57" s="5" t="s">
        <v>26</v>
      </c>
      <c r="D57" s="5" t="s">
        <v>13</v>
      </c>
      <c r="E57" s="6">
        <v>45489</v>
      </c>
      <c r="F57" s="21">
        <v>45496</v>
      </c>
      <c r="G57" s="21">
        <v>45496</v>
      </c>
      <c r="H57" s="5">
        <v>1378</v>
      </c>
      <c r="I57" s="5">
        <v>1133</v>
      </c>
      <c r="J57" s="4" t="s">
        <v>14</v>
      </c>
      <c r="K57">
        <f>Table1[[#This Row],[Delivered Qty]]/Table1[[#This Row],[Ordered Qty]]</f>
        <v>0.82220609579100146</v>
      </c>
      <c r="L57">
        <f>VLOOKUP(Table1[[#This Row],[Supplier ID]],Suppliers!$A$2:$D$6,4,FALSE)</f>
        <v>7</v>
      </c>
      <c r="M57">
        <f>Table1[[#This Row],[Actual Delivery]]-Table1[[#This Row],[Order Date]]-Table1[[#This Row],[std Lead time]]</f>
        <v>0</v>
      </c>
      <c r="N57">
        <f>IF(AND(Table1[[#This Row],[Status]] = "Delivered", Table1[[#This Row],[Actual Delivery]] &lt;= Table1[[#This Row],[Promised Delivery]],Table1[[#This Row],[FillRate]]&gt;=0.95),1,0)</f>
        <v>0</v>
      </c>
      <c r="O57" t="str">
        <f>VLOOKUP(B57,Products!$A$2:$D$9,3,FALSE)</f>
        <v>Packaging</v>
      </c>
    </row>
    <row r="58" spans="1:15" x14ac:dyDescent="0.25">
      <c r="A58" s="14" t="s">
        <v>84</v>
      </c>
      <c r="B58" s="2" t="s">
        <v>22</v>
      </c>
      <c r="C58" s="2" t="s">
        <v>57</v>
      </c>
      <c r="D58" s="2" t="s">
        <v>18</v>
      </c>
      <c r="E58" s="3">
        <v>45481</v>
      </c>
      <c r="F58" s="20">
        <v>45502</v>
      </c>
      <c r="G58" s="20">
        <v>45500</v>
      </c>
      <c r="H58" s="2">
        <v>1737</v>
      </c>
      <c r="I58" s="2">
        <v>1712</v>
      </c>
      <c r="J58" s="4" t="s">
        <v>14</v>
      </c>
      <c r="K58">
        <f>Table1[[#This Row],[Delivered Qty]]/Table1[[#This Row],[Ordered Qty]]</f>
        <v>0.98560736902705814</v>
      </c>
      <c r="L58">
        <f>VLOOKUP(Table1[[#This Row],[Supplier ID]],Suppliers!$A$2:$D$6,4,FALSE)</f>
        <v>21</v>
      </c>
      <c r="M58">
        <f>Table1[[#This Row],[Actual Delivery]]-Table1[[#This Row],[Order Date]]-Table1[[#This Row],[std Lead time]]</f>
        <v>-2</v>
      </c>
      <c r="N58">
        <f>IF(AND(Table1[[#This Row],[Status]] = "Delivered", Table1[[#This Row],[Actual Delivery]] &lt;= Table1[[#This Row],[Promised Delivery]],Table1[[#This Row],[FillRate]]&gt;=0.95),1,0)</f>
        <v>1</v>
      </c>
      <c r="O58" t="str">
        <f>VLOOKUP(B58,Products!$A$2:$D$9,3,FALSE)</f>
        <v>Finished Goods</v>
      </c>
    </row>
    <row r="59" spans="1:15" x14ac:dyDescent="0.25">
      <c r="A59" s="15" t="s">
        <v>85</v>
      </c>
      <c r="B59" s="5" t="s">
        <v>16</v>
      </c>
      <c r="C59" s="5" t="s">
        <v>57</v>
      </c>
      <c r="D59" s="5" t="s">
        <v>13</v>
      </c>
      <c r="E59" s="6">
        <v>45479</v>
      </c>
      <c r="F59" s="21">
        <v>45500</v>
      </c>
      <c r="G59" s="21">
        <v>45498</v>
      </c>
      <c r="H59" s="5">
        <v>1937</v>
      </c>
      <c r="I59" s="5">
        <v>1562</v>
      </c>
      <c r="J59" s="4" t="s">
        <v>14</v>
      </c>
      <c r="K59">
        <f>Table1[[#This Row],[Delivered Qty]]/Table1[[#This Row],[Ordered Qty]]</f>
        <v>0.80640165203923597</v>
      </c>
      <c r="L59">
        <f>VLOOKUP(Table1[[#This Row],[Supplier ID]],Suppliers!$A$2:$D$6,4,FALSE)</f>
        <v>21</v>
      </c>
      <c r="M59">
        <f>Table1[[#This Row],[Actual Delivery]]-Table1[[#This Row],[Order Date]]-Table1[[#This Row],[std Lead time]]</f>
        <v>-2</v>
      </c>
      <c r="N59">
        <f>IF(AND(Table1[[#This Row],[Status]] = "Delivered", Table1[[#This Row],[Actual Delivery]] &lt;= Table1[[#This Row],[Promised Delivery]],Table1[[#This Row],[FillRate]]&gt;=0.95),1,0)</f>
        <v>0</v>
      </c>
      <c r="O59" t="str">
        <f>VLOOKUP(B59,Products!$A$2:$D$9,3,FALSE)</f>
        <v>Packaging</v>
      </c>
    </row>
    <row r="60" spans="1:15" x14ac:dyDescent="0.25">
      <c r="A60" s="14" t="s">
        <v>86</v>
      </c>
      <c r="B60" s="2" t="s">
        <v>33</v>
      </c>
      <c r="C60" s="2" t="s">
        <v>57</v>
      </c>
      <c r="D60" s="2" t="s">
        <v>23</v>
      </c>
      <c r="E60" s="3">
        <v>45498</v>
      </c>
      <c r="F60" s="20">
        <v>45519</v>
      </c>
      <c r="G60" s="20">
        <v>45519</v>
      </c>
      <c r="H60" s="2">
        <v>1233</v>
      </c>
      <c r="I60" s="2">
        <v>1162</v>
      </c>
      <c r="J60" s="4" t="s">
        <v>14</v>
      </c>
      <c r="K60">
        <f>Table1[[#This Row],[Delivered Qty]]/Table1[[#This Row],[Ordered Qty]]</f>
        <v>0.94241686942416869</v>
      </c>
      <c r="L60">
        <f>VLOOKUP(Table1[[#This Row],[Supplier ID]],Suppliers!$A$2:$D$6,4,FALSE)</f>
        <v>21</v>
      </c>
      <c r="M60">
        <f>Table1[[#This Row],[Actual Delivery]]-Table1[[#This Row],[Order Date]]-Table1[[#This Row],[std Lead time]]</f>
        <v>0</v>
      </c>
      <c r="N60">
        <f>IF(AND(Table1[[#This Row],[Status]] = "Delivered", Table1[[#This Row],[Actual Delivery]] &lt;= Table1[[#This Row],[Promised Delivery]],Table1[[#This Row],[FillRate]]&gt;=0.95),1,0)</f>
        <v>0</v>
      </c>
      <c r="O60" t="str">
        <f>VLOOKUP(B60,Products!$A$2:$D$9,3,FALSE)</f>
        <v>Raw Material</v>
      </c>
    </row>
    <row r="61" spans="1:15" x14ac:dyDescent="0.25">
      <c r="A61" s="15" t="s">
        <v>87</v>
      </c>
      <c r="B61" s="5" t="s">
        <v>44</v>
      </c>
      <c r="C61" s="5" t="s">
        <v>31</v>
      </c>
      <c r="D61" s="5" t="s">
        <v>18</v>
      </c>
      <c r="E61" s="6">
        <v>45488</v>
      </c>
      <c r="F61" s="21">
        <v>45493</v>
      </c>
      <c r="G61" s="21">
        <v>45499</v>
      </c>
      <c r="H61" s="5">
        <v>767</v>
      </c>
      <c r="I61" s="5">
        <v>749</v>
      </c>
      <c r="J61" s="4" t="s">
        <v>14</v>
      </c>
      <c r="K61">
        <f>Table1[[#This Row],[Delivered Qty]]/Table1[[#This Row],[Ordered Qty]]</f>
        <v>0.97653194263363752</v>
      </c>
      <c r="L61">
        <f>VLOOKUP(Table1[[#This Row],[Supplier ID]],Suppliers!$A$2:$D$6,4,FALSE)</f>
        <v>5</v>
      </c>
      <c r="M61">
        <f>Table1[[#This Row],[Actual Delivery]]-Table1[[#This Row],[Order Date]]-Table1[[#This Row],[std Lead time]]</f>
        <v>6</v>
      </c>
      <c r="N61">
        <f>IF(AND(Table1[[#This Row],[Status]] = "Delivered", Table1[[#This Row],[Actual Delivery]] &lt;= Table1[[#This Row],[Promised Delivery]],Table1[[#This Row],[FillRate]]&gt;=0.95),1,0)</f>
        <v>0</v>
      </c>
      <c r="O61" t="str">
        <f>VLOOKUP(B61,Products!$A$2:$D$9,3,FALSE)</f>
        <v>Finished Goods</v>
      </c>
    </row>
    <row r="62" spans="1:15" x14ac:dyDescent="0.25">
      <c r="A62" s="14" t="s">
        <v>88</v>
      </c>
      <c r="B62" s="2" t="s">
        <v>44</v>
      </c>
      <c r="C62" s="2" t="s">
        <v>31</v>
      </c>
      <c r="D62" s="2" t="s">
        <v>23</v>
      </c>
      <c r="E62" s="3">
        <v>45488</v>
      </c>
      <c r="F62" s="20">
        <v>45493</v>
      </c>
      <c r="G62" s="20">
        <v>45495</v>
      </c>
      <c r="H62" s="2">
        <v>756</v>
      </c>
      <c r="I62" s="2">
        <v>705</v>
      </c>
      <c r="J62" s="4" t="s">
        <v>14</v>
      </c>
      <c r="K62">
        <f>Table1[[#This Row],[Delivered Qty]]/Table1[[#This Row],[Ordered Qty]]</f>
        <v>0.93253968253968256</v>
      </c>
      <c r="L62">
        <f>VLOOKUP(Table1[[#This Row],[Supplier ID]],Suppliers!$A$2:$D$6,4,FALSE)</f>
        <v>5</v>
      </c>
      <c r="M62">
        <f>Table1[[#This Row],[Actual Delivery]]-Table1[[#This Row],[Order Date]]-Table1[[#This Row],[std Lead time]]</f>
        <v>2</v>
      </c>
      <c r="N62">
        <f>IF(AND(Table1[[#This Row],[Status]] = "Delivered", Table1[[#This Row],[Actual Delivery]] &lt;= Table1[[#This Row],[Promised Delivery]],Table1[[#This Row],[FillRate]]&gt;=0.95),1,0)</f>
        <v>0</v>
      </c>
      <c r="O62" t="str">
        <f>VLOOKUP(B62,Products!$A$2:$D$9,3,FALSE)</f>
        <v>Finished Goods</v>
      </c>
    </row>
    <row r="63" spans="1:15" x14ac:dyDescent="0.25">
      <c r="A63" s="15" t="s">
        <v>89</v>
      </c>
      <c r="B63" s="5" t="s">
        <v>16</v>
      </c>
      <c r="C63" s="5" t="s">
        <v>31</v>
      </c>
      <c r="D63" s="5" t="s">
        <v>13</v>
      </c>
      <c r="E63" s="6">
        <v>45481</v>
      </c>
      <c r="F63" s="21">
        <v>45486</v>
      </c>
      <c r="G63" s="21">
        <v>45486</v>
      </c>
      <c r="H63" s="5">
        <v>638</v>
      </c>
      <c r="I63" s="5">
        <v>506</v>
      </c>
      <c r="J63" s="4" t="s">
        <v>14</v>
      </c>
      <c r="K63">
        <f>Table1[[#This Row],[Delivered Qty]]/Table1[[#This Row],[Ordered Qty]]</f>
        <v>0.7931034482758621</v>
      </c>
      <c r="L63">
        <f>VLOOKUP(Table1[[#This Row],[Supplier ID]],Suppliers!$A$2:$D$6,4,FALSE)</f>
        <v>5</v>
      </c>
      <c r="M63">
        <f>Table1[[#This Row],[Actual Delivery]]-Table1[[#This Row],[Order Date]]-Table1[[#This Row],[std Lead time]]</f>
        <v>0</v>
      </c>
      <c r="N63">
        <f>IF(AND(Table1[[#This Row],[Status]] = "Delivered", Table1[[#This Row],[Actual Delivery]] &lt;= Table1[[#This Row],[Promised Delivery]],Table1[[#This Row],[FillRate]]&gt;=0.95),1,0)</f>
        <v>0</v>
      </c>
      <c r="O63" t="str">
        <f>VLOOKUP(B63,Products!$A$2:$D$9,3,FALSE)</f>
        <v>Packaging</v>
      </c>
    </row>
    <row r="64" spans="1:15" x14ac:dyDescent="0.25">
      <c r="A64" s="14" t="s">
        <v>90</v>
      </c>
      <c r="B64" s="2" t="s">
        <v>22</v>
      </c>
      <c r="C64" s="2" t="s">
        <v>12</v>
      </c>
      <c r="D64" s="2" t="s">
        <v>18</v>
      </c>
      <c r="E64" s="3">
        <v>45487</v>
      </c>
      <c r="F64" s="20">
        <v>45505</v>
      </c>
      <c r="G64" s="20">
        <v>45504</v>
      </c>
      <c r="H64" s="2">
        <v>997</v>
      </c>
      <c r="I64" s="2">
        <v>987</v>
      </c>
      <c r="J64" s="4" t="s">
        <v>14</v>
      </c>
      <c r="K64">
        <f>Table1[[#This Row],[Delivered Qty]]/Table1[[#This Row],[Ordered Qty]]</f>
        <v>0.98996990972918752</v>
      </c>
      <c r="L64">
        <f>VLOOKUP(Table1[[#This Row],[Supplier ID]],Suppliers!$A$2:$D$6,4,FALSE)</f>
        <v>18</v>
      </c>
      <c r="M64">
        <f>Table1[[#This Row],[Actual Delivery]]-Table1[[#This Row],[Order Date]]-Table1[[#This Row],[std Lead time]]</f>
        <v>-1</v>
      </c>
      <c r="N64">
        <f>IF(AND(Table1[[#This Row],[Status]] = "Delivered", Table1[[#This Row],[Actual Delivery]] &lt;= Table1[[#This Row],[Promised Delivery]],Table1[[#This Row],[FillRate]]&gt;=0.95),1,0)</f>
        <v>1</v>
      </c>
      <c r="O64" t="str">
        <f>VLOOKUP(B64,Products!$A$2:$D$9,3,FALSE)</f>
        <v>Finished Goods</v>
      </c>
    </row>
    <row r="65" spans="1:15" x14ac:dyDescent="0.25">
      <c r="A65" s="15" t="s">
        <v>91</v>
      </c>
      <c r="B65" s="5" t="s">
        <v>11</v>
      </c>
      <c r="C65" s="5" t="s">
        <v>17</v>
      </c>
      <c r="D65" s="5" t="s">
        <v>18</v>
      </c>
      <c r="E65" s="6">
        <v>45489</v>
      </c>
      <c r="F65" s="21">
        <v>45495</v>
      </c>
      <c r="G65" s="21">
        <v>45498</v>
      </c>
      <c r="H65" s="5">
        <v>1743</v>
      </c>
      <c r="I65" s="5">
        <v>1509</v>
      </c>
      <c r="J65" s="4" t="s">
        <v>14</v>
      </c>
      <c r="K65">
        <f>Table1[[#This Row],[Delivered Qty]]/Table1[[#This Row],[Ordered Qty]]</f>
        <v>0.86574870912220314</v>
      </c>
      <c r="L65">
        <f>VLOOKUP(Table1[[#This Row],[Supplier ID]],Suppliers!$A$2:$D$6,4,FALSE)</f>
        <v>6</v>
      </c>
      <c r="M65">
        <f>Table1[[#This Row],[Actual Delivery]]-Table1[[#This Row],[Order Date]]-Table1[[#This Row],[std Lead time]]</f>
        <v>3</v>
      </c>
      <c r="N65">
        <f>IF(AND(Table1[[#This Row],[Status]] = "Delivered", Table1[[#This Row],[Actual Delivery]] &lt;= Table1[[#This Row],[Promised Delivery]],Table1[[#This Row],[FillRate]]&gt;=0.95),1,0)</f>
        <v>0</v>
      </c>
      <c r="O65" t="str">
        <f>VLOOKUP(B65,Products!$A$2:$D$9,3,FALSE)</f>
        <v>Packaging</v>
      </c>
    </row>
    <row r="66" spans="1:15" x14ac:dyDescent="0.25">
      <c r="A66" s="14" t="s">
        <v>92</v>
      </c>
      <c r="B66" s="2" t="s">
        <v>22</v>
      </c>
      <c r="C66" s="2" t="s">
        <v>17</v>
      </c>
      <c r="D66" s="2" t="s">
        <v>13</v>
      </c>
      <c r="E66" s="3">
        <v>45489</v>
      </c>
      <c r="F66" s="20">
        <v>45495</v>
      </c>
      <c r="G66" s="20">
        <v>45494</v>
      </c>
      <c r="H66" s="2">
        <v>259</v>
      </c>
      <c r="I66" s="2">
        <v>243</v>
      </c>
      <c r="J66" s="4" t="s">
        <v>14</v>
      </c>
      <c r="K66">
        <f>Table1[[#This Row],[Delivered Qty]]/Table1[[#This Row],[Ordered Qty]]</f>
        <v>0.93822393822393824</v>
      </c>
      <c r="L66">
        <f>VLOOKUP(Table1[[#This Row],[Supplier ID]],Suppliers!$A$2:$D$6,4,FALSE)</f>
        <v>6</v>
      </c>
      <c r="M66">
        <f>Table1[[#This Row],[Actual Delivery]]-Table1[[#This Row],[Order Date]]-Table1[[#This Row],[std Lead time]]</f>
        <v>-1</v>
      </c>
      <c r="N66">
        <f>IF(AND(Table1[[#This Row],[Status]] = "Delivered", Table1[[#This Row],[Actual Delivery]] &lt;= Table1[[#This Row],[Promised Delivery]],Table1[[#This Row],[FillRate]]&gt;=0.95),1,0)</f>
        <v>0</v>
      </c>
      <c r="O66" t="str">
        <f>VLOOKUP(B66,Products!$A$2:$D$9,3,FALSE)</f>
        <v>Finished Goods</v>
      </c>
    </row>
    <row r="67" spans="1:15" x14ac:dyDescent="0.25">
      <c r="A67" s="15" t="s">
        <v>93</v>
      </c>
      <c r="B67" s="5" t="s">
        <v>22</v>
      </c>
      <c r="C67" s="5" t="s">
        <v>31</v>
      </c>
      <c r="D67" s="5" t="s">
        <v>18</v>
      </c>
      <c r="E67" s="6">
        <v>45478</v>
      </c>
      <c r="F67" s="21">
        <v>45483</v>
      </c>
      <c r="G67" s="21">
        <v>45488</v>
      </c>
      <c r="H67" s="5">
        <v>1355</v>
      </c>
      <c r="I67" s="5">
        <v>1309</v>
      </c>
      <c r="J67" s="4" t="s">
        <v>14</v>
      </c>
      <c r="K67">
        <f>Table1[[#This Row],[Delivered Qty]]/Table1[[#This Row],[Ordered Qty]]</f>
        <v>0.96605166051660518</v>
      </c>
      <c r="L67">
        <f>VLOOKUP(Table1[[#This Row],[Supplier ID]],Suppliers!$A$2:$D$6,4,FALSE)</f>
        <v>5</v>
      </c>
      <c r="M67">
        <f>Table1[[#This Row],[Actual Delivery]]-Table1[[#This Row],[Order Date]]-Table1[[#This Row],[std Lead time]]</f>
        <v>5</v>
      </c>
      <c r="N67">
        <f>IF(AND(Table1[[#This Row],[Status]] = "Delivered", Table1[[#This Row],[Actual Delivery]] &lt;= Table1[[#This Row],[Promised Delivery]],Table1[[#This Row],[FillRate]]&gt;=0.95),1,0)</f>
        <v>0</v>
      </c>
      <c r="O67" t="str">
        <f>VLOOKUP(B67,Products!$A$2:$D$9,3,FALSE)</f>
        <v>Finished Goods</v>
      </c>
    </row>
    <row r="68" spans="1:15" x14ac:dyDescent="0.25">
      <c r="A68" s="14" t="s">
        <v>94</v>
      </c>
      <c r="B68" s="2" t="s">
        <v>16</v>
      </c>
      <c r="C68" s="2" t="s">
        <v>57</v>
      </c>
      <c r="D68" s="2" t="s">
        <v>13</v>
      </c>
      <c r="E68" s="3">
        <v>45501</v>
      </c>
      <c r="F68" s="20">
        <v>45522</v>
      </c>
      <c r="G68" s="20">
        <v>45521</v>
      </c>
      <c r="H68" s="2">
        <v>976</v>
      </c>
      <c r="I68" s="2">
        <v>831</v>
      </c>
      <c r="J68" s="4" t="s">
        <v>14</v>
      </c>
      <c r="K68">
        <f>Table1[[#This Row],[Delivered Qty]]/Table1[[#This Row],[Ordered Qty]]</f>
        <v>0.85143442622950816</v>
      </c>
      <c r="L68">
        <f>VLOOKUP(Table1[[#This Row],[Supplier ID]],Suppliers!$A$2:$D$6,4,FALSE)</f>
        <v>21</v>
      </c>
      <c r="M68">
        <f>Table1[[#This Row],[Actual Delivery]]-Table1[[#This Row],[Order Date]]-Table1[[#This Row],[std Lead time]]</f>
        <v>-1</v>
      </c>
      <c r="N68">
        <f>IF(AND(Table1[[#This Row],[Status]] = "Delivered", Table1[[#This Row],[Actual Delivery]] &lt;= Table1[[#This Row],[Promised Delivery]],Table1[[#This Row],[FillRate]]&gt;=0.95),1,0)</f>
        <v>0</v>
      </c>
      <c r="O68" t="str">
        <f>VLOOKUP(B68,Products!$A$2:$D$9,3,FALSE)</f>
        <v>Packaging</v>
      </c>
    </row>
    <row r="69" spans="1:15" x14ac:dyDescent="0.25">
      <c r="A69" s="15" t="s">
        <v>95</v>
      </c>
      <c r="B69" s="5" t="s">
        <v>44</v>
      </c>
      <c r="C69" s="5" t="s">
        <v>12</v>
      </c>
      <c r="D69" s="5" t="s">
        <v>23</v>
      </c>
      <c r="E69" s="6">
        <v>45498</v>
      </c>
      <c r="F69" s="21">
        <v>45516</v>
      </c>
      <c r="G69" s="21">
        <v>45515</v>
      </c>
      <c r="H69" s="5">
        <v>716</v>
      </c>
      <c r="I69" s="5">
        <v>704</v>
      </c>
      <c r="J69" s="4" t="s">
        <v>14</v>
      </c>
      <c r="K69">
        <f>Table1[[#This Row],[Delivered Qty]]/Table1[[#This Row],[Ordered Qty]]</f>
        <v>0.98324022346368711</v>
      </c>
      <c r="L69">
        <f>VLOOKUP(Table1[[#This Row],[Supplier ID]],Suppliers!$A$2:$D$6,4,FALSE)</f>
        <v>18</v>
      </c>
      <c r="M69">
        <f>Table1[[#This Row],[Actual Delivery]]-Table1[[#This Row],[Order Date]]-Table1[[#This Row],[std Lead time]]</f>
        <v>-1</v>
      </c>
      <c r="N69">
        <f>IF(AND(Table1[[#This Row],[Status]] = "Delivered", Table1[[#This Row],[Actual Delivery]] &lt;= Table1[[#This Row],[Promised Delivery]],Table1[[#This Row],[FillRate]]&gt;=0.95),1,0)</f>
        <v>1</v>
      </c>
      <c r="O69" t="str">
        <f>VLOOKUP(B69,Products!$A$2:$D$9,3,FALSE)</f>
        <v>Finished Goods</v>
      </c>
    </row>
    <row r="70" spans="1:15" x14ac:dyDescent="0.25">
      <c r="A70" s="14" t="s">
        <v>96</v>
      </c>
      <c r="B70" s="2" t="s">
        <v>44</v>
      </c>
      <c r="C70" s="2" t="s">
        <v>26</v>
      </c>
      <c r="D70" s="2" t="s">
        <v>28</v>
      </c>
      <c r="E70" s="3">
        <v>45485</v>
      </c>
      <c r="F70" s="20">
        <v>45492</v>
      </c>
      <c r="G70" s="20">
        <v>45492</v>
      </c>
      <c r="H70" s="2">
        <v>282</v>
      </c>
      <c r="I70" s="2">
        <v>275</v>
      </c>
      <c r="J70" s="4" t="s">
        <v>14</v>
      </c>
      <c r="K70">
        <f>Table1[[#This Row],[Delivered Qty]]/Table1[[#This Row],[Ordered Qty]]</f>
        <v>0.97517730496453903</v>
      </c>
      <c r="L70">
        <f>VLOOKUP(Table1[[#This Row],[Supplier ID]],Suppliers!$A$2:$D$6,4,FALSE)</f>
        <v>7</v>
      </c>
      <c r="M70">
        <f>Table1[[#This Row],[Actual Delivery]]-Table1[[#This Row],[Order Date]]-Table1[[#This Row],[std Lead time]]</f>
        <v>0</v>
      </c>
      <c r="N70">
        <f>IF(AND(Table1[[#This Row],[Status]] = "Delivered", Table1[[#This Row],[Actual Delivery]] &lt;= Table1[[#This Row],[Promised Delivery]],Table1[[#This Row],[FillRate]]&gt;=0.95),1,0)</f>
        <v>1</v>
      </c>
      <c r="O70" t="str">
        <f>VLOOKUP(B70,Products!$A$2:$D$9,3,FALSE)</f>
        <v>Finished Goods</v>
      </c>
    </row>
    <row r="71" spans="1:15" x14ac:dyDescent="0.25">
      <c r="A71" s="15" t="s">
        <v>97</v>
      </c>
      <c r="B71" s="5" t="s">
        <v>20</v>
      </c>
      <c r="C71" s="5" t="s">
        <v>31</v>
      </c>
      <c r="D71" s="5" t="s">
        <v>28</v>
      </c>
      <c r="E71" s="6">
        <v>45493</v>
      </c>
      <c r="F71" s="21">
        <v>45498</v>
      </c>
      <c r="G71" s="21">
        <v>45497</v>
      </c>
      <c r="H71" s="5">
        <v>1571</v>
      </c>
      <c r="I71" s="5">
        <v>1431</v>
      </c>
      <c r="J71" s="4" t="s">
        <v>14</v>
      </c>
      <c r="K71">
        <f>Table1[[#This Row],[Delivered Qty]]/Table1[[#This Row],[Ordered Qty]]</f>
        <v>0.91088478676002549</v>
      </c>
      <c r="L71">
        <f>VLOOKUP(Table1[[#This Row],[Supplier ID]],Suppliers!$A$2:$D$6,4,FALSE)</f>
        <v>5</v>
      </c>
      <c r="M71">
        <f>Table1[[#This Row],[Actual Delivery]]-Table1[[#This Row],[Order Date]]-Table1[[#This Row],[std Lead time]]</f>
        <v>-1</v>
      </c>
      <c r="N71">
        <f>IF(AND(Table1[[#This Row],[Status]] = "Delivered", Table1[[#This Row],[Actual Delivery]] &lt;= Table1[[#This Row],[Promised Delivery]],Table1[[#This Row],[FillRate]]&gt;=0.95),1,0)</f>
        <v>0</v>
      </c>
      <c r="O71" t="str">
        <f>VLOOKUP(B71,Products!$A$2:$D$9,3,FALSE)</f>
        <v>Raw Material</v>
      </c>
    </row>
    <row r="72" spans="1:15" x14ac:dyDescent="0.25">
      <c r="A72" s="14" t="s">
        <v>98</v>
      </c>
      <c r="B72" s="2" t="s">
        <v>20</v>
      </c>
      <c r="C72" s="2" t="s">
        <v>57</v>
      </c>
      <c r="D72" s="2" t="s">
        <v>23</v>
      </c>
      <c r="E72" s="3">
        <v>45498</v>
      </c>
      <c r="F72" s="20">
        <v>45519</v>
      </c>
      <c r="G72" s="20">
        <v>45519</v>
      </c>
      <c r="H72" s="2">
        <v>1731</v>
      </c>
      <c r="I72" s="2">
        <v>1682</v>
      </c>
      <c r="J72" s="4" t="s">
        <v>14</v>
      </c>
      <c r="K72">
        <f>Table1[[#This Row],[Delivered Qty]]/Table1[[#This Row],[Ordered Qty]]</f>
        <v>0.97169266320046221</v>
      </c>
      <c r="L72">
        <f>VLOOKUP(Table1[[#This Row],[Supplier ID]],Suppliers!$A$2:$D$6,4,FALSE)</f>
        <v>21</v>
      </c>
      <c r="M72">
        <f>Table1[[#This Row],[Actual Delivery]]-Table1[[#This Row],[Order Date]]-Table1[[#This Row],[std Lead time]]</f>
        <v>0</v>
      </c>
      <c r="N72">
        <f>IF(AND(Table1[[#This Row],[Status]] = "Delivered", Table1[[#This Row],[Actual Delivery]] &lt;= Table1[[#This Row],[Promised Delivery]],Table1[[#This Row],[FillRate]]&gt;=0.95),1,0)</f>
        <v>1</v>
      </c>
      <c r="O72" t="str">
        <f>VLOOKUP(B72,Products!$A$2:$D$9,3,FALSE)</f>
        <v>Raw Material</v>
      </c>
    </row>
    <row r="73" spans="1:15" x14ac:dyDescent="0.25">
      <c r="A73" s="15" t="s">
        <v>99</v>
      </c>
      <c r="B73" s="5" t="s">
        <v>33</v>
      </c>
      <c r="C73" s="5" t="s">
        <v>12</v>
      </c>
      <c r="D73" s="5" t="s">
        <v>28</v>
      </c>
      <c r="E73" s="6">
        <v>45492</v>
      </c>
      <c r="F73" s="21">
        <v>45510</v>
      </c>
      <c r="G73" s="21">
        <v>45515</v>
      </c>
      <c r="H73" s="5">
        <v>1587</v>
      </c>
      <c r="I73" s="5">
        <v>1572</v>
      </c>
      <c r="J73" s="4" t="s">
        <v>14</v>
      </c>
      <c r="K73">
        <f>Table1[[#This Row],[Delivered Qty]]/Table1[[#This Row],[Ordered Qty]]</f>
        <v>0.99054820415879019</v>
      </c>
      <c r="L73">
        <f>VLOOKUP(Table1[[#This Row],[Supplier ID]],Suppliers!$A$2:$D$6,4,FALSE)</f>
        <v>18</v>
      </c>
      <c r="M73">
        <f>Table1[[#This Row],[Actual Delivery]]-Table1[[#This Row],[Order Date]]-Table1[[#This Row],[std Lead time]]</f>
        <v>5</v>
      </c>
      <c r="N73">
        <f>IF(AND(Table1[[#This Row],[Status]] = "Delivered", Table1[[#This Row],[Actual Delivery]] &lt;= Table1[[#This Row],[Promised Delivery]],Table1[[#This Row],[FillRate]]&gt;=0.95),1,0)</f>
        <v>0</v>
      </c>
      <c r="O73" t="str">
        <f>VLOOKUP(B73,Products!$A$2:$D$9,3,FALSE)</f>
        <v>Raw Material</v>
      </c>
    </row>
    <row r="74" spans="1:15" x14ac:dyDescent="0.25">
      <c r="A74" s="14" t="s">
        <v>100</v>
      </c>
      <c r="B74" s="2" t="s">
        <v>22</v>
      </c>
      <c r="C74" s="2" t="s">
        <v>57</v>
      </c>
      <c r="D74" s="2" t="s">
        <v>13</v>
      </c>
      <c r="E74" s="3">
        <v>45476</v>
      </c>
      <c r="F74" s="20">
        <v>45497</v>
      </c>
      <c r="G74" s="20">
        <v>45496</v>
      </c>
      <c r="H74" s="2">
        <v>1941</v>
      </c>
      <c r="I74" s="2">
        <v>1879</v>
      </c>
      <c r="J74" s="4" t="s">
        <v>14</v>
      </c>
      <c r="K74">
        <f>Table1[[#This Row],[Delivered Qty]]/Table1[[#This Row],[Ordered Qty]]</f>
        <v>0.96805770221535292</v>
      </c>
      <c r="L74">
        <f>VLOOKUP(Table1[[#This Row],[Supplier ID]],Suppliers!$A$2:$D$6,4,FALSE)</f>
        <v>21</v>
      </c>
      <c r="M74">
        <f>Table1[[#This Row],[Actual Delivery]]-Table1[[#This Row],[Order Date]]-Table1[[#This Row],[std Lead time]]</f>
        <v>-1</v>
      </c>
      <c r="N74">
        <f>IF(AND(Table1[[#This Row],[Status]] = "Delivered", Table1[[#This Row],[Actual Delivery]] &lt;= Table1[[#This Row],[Promised Delivery]],Table1[[#This Row],[FillRate]]&gt;=0.95),1,0)</f>
        <v>1</v>
      </c>
      <c r="O74" t="str">
        <f>VLOOKUP(B74,Products!$A$2:$D$9,3,FALSE)</f>
        <v>Finished Goods</v>
      </c>
    </row>
    <row r="75" spans="1:15" x14ac:dyDescent="0.25">
      <c r="A75" s="15" t="s">
        <v>101</v>
      </c>
      <c r="B75" s="5" t="s">
        <v>16</v>
      </c>
      <c r="C75" s="5" t="s">
        <v>17</v>
      </c>
      <c r="D75" s="5" t="s">
        <v>28</v>
      </c>
      <c r="E75" s="6">
        <v>45485</v>
      </c>
      <c r="F75" s="21">
        <v>45491</v>
      </c>
      <c r="G75" s="21">
        <v>45489</v>
      </c>
      <c r="H75" s="5">
        <v>1236</v>
      </c>
      <c r="I75" s="5">
        <v>1140</v>
      </c>
      <c r="J75" s="4" t="s">
        <v>14</v>
      </c>
      <c r="K75">
        <f>Table1[[#This Row],[Delivered Qty]]/Table1[[#This Row],[Ordered Qty]]</f>
        <v>0.92233009708737868</v>
      </c>
      <c r="L75">
        <f>VLOOKUP(Table1[[#This Row],[Supplier ID]],Suppliers!$A$2:$D$6,4,FALSE)</f>
        <v>6</v>
      </c>
      <c r="M75">
        <f>Table1[[#This Row],[Actual Delivery]]-Table1[[#This Row],[Order Date]]-Table1[[#This Row],[std Lead time]]</f>
        <v>-2</v>
      </c>
      <c r="N75">
        <f>IF(AND(Table1[[#This Row],[Status]] = "Delivered", Table1[[#This Row],[Actual Delivery]] &lt;= Table1[[#This Row],[Promised Delivery]],Table1[[#This Row],[FillRate]]&gt;=0.95),1,0)</f>
        <v>0</v>
      </c>
      <c r="O75" t="str">
        <f>VLOOKUP(B75,Products!$A$2:$D$9,3,FALSE)</f>
        <v>Packaging</v>
      </c>
    </row>
    <row r="76" spans="1:15" x14ac:dyDescent="0.25">
      <c r="A76" s="14" t="s">
        <v>102</v>
      </c>
      <c r="B76" s="2" t="s">
        <v>11</v>
      </c>
      <c r="C76" s="2" t="s">
        <v>57</v>
      </c>
      <c r="D76" s="2" t="s">
        <v>18</v>
      </c>
      <c r="E76" s="3">
        <v>45477</v>
      </c>
      <c r="F76" s="20">
        <v>45498</v>
      </c>
      <c r="G76" s="20">
        <v>45512</v>
      </c>
      <c r="H76" s="2">
        <v>1648</v>
      </c>
      <c r="I76" s="2">
        <v>1340</v>
      </c>
      <c r="J76" s="4" t="s">
        <v>14</v>
      </c>
      <c r="K76">
        <f>Table1[[#This Row],[Delivered Qty]]/Table1[[#This Row],[Ordered Qty]]</f>
        <v>0.81310679611650483</v>
      </c>
      <c r="L76">
        <f>VLOOKUP(Table1[[#This Row],[Supplier ID]],Suppliers!$A$2:$D$6,4,FALSE)</f>
        <v>21</v>
      </c>
      <c r="M76">
        <f>Table1[[#This Row],[Actual Delivery]]-Table1[[#This Row],[Order Date]]-Table1[[#This Row],[std Lead time]]</f>
        <v>14</v>
      </c>
      <c r="N76">
        <f>IF(AND(Table1[[#This Row],[Status]] = "Delivered", Table1[[#This Row],[Actual Delivery]] &lt;= Table1[[#This Row],[Promised Delivery]],Table1[[#This Row],[FillRate]]&gt;=0.95),1,0)</f>
        <v>0</v>
      </c>
      <c r="O76" t="str">
        <f>VLOOKUP(B76,Products!$A$2:$D$9,3,FALSE)</f>
        <v>Packaging</v>
      </c>
    </row>
    <row r="77" spans="1:15" x14ac:dyDescent="0.25">
      <c r="A77" s="15" t="s">
        <v>103</v>
      </c>
      <c r="B77" s="5" t="s">
        <v>33</v>
      </c>
      <c r="C77" s="5" t="s">
        <v>17</v>
      </c>
      <c r="D77" s="5" t="s">
        <v>23</v>
      </c>
      <c r="E77" s="6">
        <v>45493</v>
      </c>
      <c r="F77" s="21">
        <v>45499</v>
      </c>
      <c r="G77" s="21">
        <v>45499</v>
      </c>
      <c r="H77" s="5">
        <v>1413</v>
      </c>
      <c r="I77" s="5">
        <v>1309</v>
      </c>
      <c r="J77" s="4" t="s">
        <v>14</v>
      </c>
      <c r="K77">
        <f>Table1[[#This Row],[Delivered Qty]]/Table1[[#This Row],[Ordered Qty]]</f>
        <v>0.92639773531493275</v>
      </c>
      <c r="L77">
        <f>VLOOKUP(Table1[[#This Row],[Supplier ID]],Suppliers!$A$2:$D$6,4,FALSE)</f>
        <v>6</v>
      </c>
      <c r="M77">
        <f>Table1[[#This Row],[Actual Delivery]]-Table1[[#This Row],[Order Date]]-Table1[[#This Row],[std Lead time]]</f>
        <v>0</v>
      </c>
      <c r="N77">
        <f>IF(AND(Table1[[#This Row],[Status]] = "Delivered", Table1[[#This Row],[Actual Delivery]] &lt;= Table1[[#This Row],[Promised Delivery]],Table1[[#This Row],[FillRate]]&gt;=0.95),1,0)</f>
        <v>0</v>
      </c>
      <c r="O77" t="str">
        <f>VLOOKUP(B77,Products!$A$2:$D$9,3,FALSE)</f>
        <v>Raw Material</v>
      </c>
    </row>
    <row r="78" spans="1:15" x14ac:dyDescent="0.25">
      <c r="A78" s="14" t="s">
        <v>104</v>
      </c>
      <c r="B78" s="2" t="s">
        <v>20</v>
      </c>
      <c r="C78" s="2" t="s">
        <v>26</v>
      </c>
      <c r="D78" s="2" t="s">
        <v>23</v>
      </c>
      <c r="E78" s="3">
        <v>45488</v>
      </c>
      <c r="F78" s="20">
        <v>45495</v>
      </c>
      <c r="G78" s="20">
        <v>45500</v>
      </c>
      <c r="H78" s="2">
        <v>1449</v>
      </c>
      <c r="I78" s="2">
        <v>1400</v>
      </c>
      <c r="J78" s="4" t="s">
        <v>14</v>
      </c>
      <c r="K78">
        <f>Table1[[#This Row],[Delivered Qty]]/Table1[[#This Row],[Ordered Qty]]</f>
        <v>0.96618357487922701</v>
      </c>
      <c r="L78">
        <f>VLOOKUP(Table1[[#This Row],[Supplier ID]],Suppliers!$A$2:$D$6,4,FALSE)</f>
        <v>7</v>
      </c>
      <c r="M78">
        <f>Table1[[#This Row],[Actual Delivery]]-Table1[[#This Row],[Order Date]]-Table1[[#This Row],[std Lead time]]</f>
        <v>5</v>
      </c>
      <c r="N78">
        <f>IF(AND(Table1[[#This Row],[Status]] = "Delivered", Table1[[#This Row],[Actual Delivery]] &lt;= Table1[[#This Row],[Promised Delivery]],Table1[[#This Row],[FillRate]]&gt;=0.95),1,0)</f>
        <v>0</v>
      </c>
      <c r="O78" t="str">
        <f>VLOOKUP(B78,Products!$A$2:$D$9,3,FALSE)</f>
        <v>Raw Material</v>
      </c>
    </row>
    <row r="79" spans="1:15" x14ac:dyDescent="0.25">
      <c r="A79" s="15" t="s">
        <v>105</v>
      </c>
      <c r="B79" s="5" t="s">
        <v>30</v>
      </c>
      <c r="C79" s="5" t="s">
        <v>26</v>
      </c>
      <c r="D79" s="5" t="s">
        <v>18</v>
      </c>
      <c r="E79" s="6">
        <v>45501</v>
      </c>
      <c r="F79" s="21">
        <v>45508</v>
      </c>
      <c r="G79" s="21">
        <v>45506</v>
      </c>
      <c r="H79" s="5">
        <v>926</v>
      </c>
      <c r="I79" s="5">
        <v>907</v>
      </c>
      <c r="J79" s="4" t="s">
        <v>14</v>
      </c>
      <c r="K79">
        <f>Table1[[#This Row],[Delivered Qty]]/Table1[[#This Row],[Ordered Qty]]</f>
        <v>0.97948164146868255</v>
      </c>
      <c r="L79">
        <f>VLOOKUP(Table1[[#This Row],[Supplier ID]],Suppliers!$A$2:$D$6,4,FALSE)</f>
        <v>7</v>
      </c>
      <c r="M79">
        <f>Table1[[#This Row],[Actual Delivery]]-Table1[[#This Row],[Order Date]]-Table1[[#This Row],[std Lead time]]</f>
        <v>-2</v>
      </c>
      <c r="N79">
        <f>IF(AND(Table1[[#This Row],[Status]] = "Delivered", Table1[[#This Row],[Actual Delivery]] &lt;= Table1[[#This Row],[Promised Delivery]],Table1[[#This Row],[FillRate]]&gt;=0.95),1,0)</f>
        <v>1</v>
      </c>
      <c r="O79" t="str">
        <f>VLOOKUP(B79,Products!$A$2:$D$9,3,FALSE)</f>
        <v>Finished Goods</v>
      </c>
    </row>
    <row r="80" spans="1:15" x14ac:dyDescent="0.25">
      <c r="A80" s="14" t="s">
        <v>106</v>
      </c>
      <c r="B80" s="2" t="s">
        <v>30</v>
      </c>
      <c r="C80" s="2" t="s">
        <v>12</v>
      </c>
      <c r="D80" s="2" t="s">
        <v>23</v>
      </c>
      <c r="E80" s="3">
        <v>45491</v>
      </c>
      <c r="F80" s="20">
        <v>45509</v>
      </c>
      <c r="G80" s="20">
        <v>45507</v>
      </c>
      <c r="H80" s="2">
        <v>375</v>
      </c>
      <c r="I80" s="2">
        <v>346</v>
      </c>
      <c r="J80" s="4" t="s">
        <v>14</v>
      </c>
      <c r="K80">
        <f>Table1[[#This Row],[Delivered Qty]]/Table1[[#This Row],[Ordered Qty]]</f>
        <v>0.92266666666666663</v>
      </c>
      <c r="L80">
        <f>VLOOKUP(Table1[[#This Row],[Supplier ID]],Suppliers!$A$2:$D$6,4,FALSE)</f>
        <v>18</v>
      </c>
      <c r="M80">
        <f>Table1[[#This Row],[Actual Delivery]]-Table1[[#This Row],[Order Date]]-Table1[[#This Row],[std Lead time]]</f>
        <v>-2</v>
      </c>
      <c r="N80">
        <f>IF(AND(Table1[[#This Row],[Status]] = "Delivered", Table1[[#This Row],[Actual Delivery]] &lt;= Table1[[#This Row],[Promised Delivery]],Table1[[#This Row],[FillRate]]&gt;=0.95),1,0)</f>
        <v>0</v>
      </c>
      <c r="O80" t="str">
        <f>VLOOKUP(B80,Products!$A$2:$D$9,3,FALSE)</f>
        <v>Finished Goods</v>
      </c>
    </row>
    <row r="81" spans="1:15" x14ac:dyDescent="0.25">
      <c r="A81" s="15" t="s">
        <v>107</v>
      </c>
      <c r="B81" s="5" t="s">
        <v>22</v>
      </c>
      <c r="C81" s="5" t="s">
        <v>57</v>
      </c>
      <c r="D81" s="5" t="s">
        <v>13</v>
      </c>
      <c r="E81" s="6">
        <v>45496</v>
      </c>
      <c r="F81" s="21">
        <v>45517</v>
      </c>
      <c r="G81" s="21">
        <v>45516</v>
      </c>
      <c r="H81" s="5">
        <v>1117</v>
      </c>
      <c r="I81" s="5">
        <v>1093</v>
      </c>
      <c r="J81" s="4" t="s">
        <v>14</v>
      </c>
      <c r="K81">
        <f>Table1[[#This Row],[Delivered Qty]]/Table1[[#This Row],[Ordered Qty]]</f>
        <v>0.9785138764547896</v>
      </c>
      <c r="L81">
        <f>VLOOKUP(Table1[[#This Row],[Supplier ID]],Suppliers!$A$2:$D$6,4,FALSE)</f>
        <v>21</v>
      </c>
      <c r="M81">
        <f>Table1[[#This Row],[Actual Delivery]]-Table1[[#This Row],[Order Date]]-Table1[[#This Row],[std Lead time]]</f>
        <v>-1</v>
      </c>
      <c r="N81">
        <f>IF(AND(Table1[[#This Row],[Status]] = "Delivered", Table1[[#This Row],[Actual Delivery]] &lt;= Table1[[#This Row],[Promised Delivery]],Table1[[#This Row],[FillRate]]&gt;=0.95),1,0)</f>
        <v>1</v>
      </c>
      <c r="O81" t="str">
        <f>VLOOKUP(B81,Products!$A$2:$D$9,3,FALSE)</f>
        <v>Finished Goods</v>
      </c>
    </row>
    <row r="82" spans="1:15" x14ac:dyDescent="0.25">
      <c r="A82" s="14" t="s">
        <v>108</v>
      </c>
      <c r="B82" s="2" t="s">
        <v>16</v>
      </c>
      <c r="C82" s="2" t="s">
        <v>12</v>
      </c>
      <c r="D82" s="2" t="s">
        <v>13</v>
      </c>
      <c r="E82" s="3">
        <v>45486</v>
      </c>
      <c r="F82" s="20">
        <v>45504</v>
      </c>
      <c r="G82" s="20">
        <v>45504</v>
      </c>
      <c r="H82" s="2">
        <v>955</v>
      </c>
      <c r="I82" s="2">
        <v>844</v>
      </c>
      <c r="J82" s="4" t="s">
        <v>14</v>
      </c>
      <c r="K82">
        <f>Table1[[#This Row],[Delivered Qty]]/Table1[[#This Row],[Ordered Qty]]</f>
        <v>0.88376963350785342</v>
      </c>
      <c r="L82">
        <f>VLOOKUP(Table1[[#This Row],[Supplier ID]],Suppliers!$A$2:$D$6,4,FALSE)</f>
        <v>18</v>
      </c>
      <c r="M82">
        <f>Table1[[#This Row],[Actual Delivery]]-Table1[[#This Row],[Order Date]]-Table1[[#This Row],[std Lead time]]</f>
        <v>0</v>
      </c>
      <c r="N82">
        <f>IF(AND(Table1[[#This Row],[Status]] = "Delivered", Table1[[#This Row],[Actual Delivery]] &lt;= Table1[[#This Row],[Promised Delivery]],Table1[[#This Row],[FillRate]]&gt;=0.95),1,0)</f>
        <v>0</v>
      </c>
      <c r="O82" t="str">
        <f>VLOOKUP(B82,Products!$A$2:$D$9,3,FALSE)</f>
        <v>Packaging</v>
      </c>
    </row>
    <row r="83" spans="1:15" x14ac:dyDescent="0.25">
      <c r="A83" s="15" t="s">
        <v>109</v>
      </c>
      <c r="B83" s="5" t="s">
        <v>30</v>
      </c>
      <c r="C83" s="5" t="s">
        <v>57</v>
      </c>
      <c r="D83" s="5" t="s">
        <v>23</v>
      </c>
      <c r="E83" s="6">
        <v>45485</v>
      </c>
      <c r="F83" s="21">
        <v>45506</v>
      </c>
      <c r="G83" s="21">
        <v>45505</v>
      </c>
      <c r="H83" s="5">
        <v>672</v>
      </c>
      <c r="I83" s="5">
        <v>612</v>
      </c>
      <c r="J83" s="4" t="s">
        <v>14</v>
      </c>
      <c r="K83">
        <f>Table1[[#This Row],[Delivered Qty]]/Table1[[#This Row],[Ordered Qty]]</f>
        <v>0.9107142857142857</v>
      </c>
      <c r="L83">
        <f>VLOOKUP(Table1[[#This Row],[Supplier ID]],Suppliers!$A$2:$D$6,4,FALSE)</f>
        <v>21</v>
      </c>
      <c r="M83">
        <f>Table1[[#This Row],[Actual Delivery]]-Table1[[#This Row],[Order Date]]-Table1[[#This Row],[std Lead time]]</f>
        <v>-1</v>
      </c>
      <c r="N83">
        <f>IF(AND(Table1[[#This Row],[Status]] = "Delivered", Table1[[#This Row],[Actual Delivery]] &lt;= Table1[[#This Row],[Promised Delivery]],Table1[[#This Row],[FillRate]]&gt;=0.95),1,0)</f>
        <v>0</v>
      </c>
      <c r="O83" t="str">
        <f>VLOOKUP(B83,Products!$A$2:$D$9,3,FALSE)</f>
        <v>Finished Goods</v>
      </c>
    </row>
    <row r="84" spans="1:15" x14ac:dyDescent="0.25">
      <c r="A84" s="14" t="s">
        <v>110</v>
      </c>
      <c r="B84" s="2" t="s">
        <v>20</v>
      </c>
      <c r="C84" s="2" t="s">
        <v>12</v>
      </c>
      <c r="D84" s="2" t="s">
        <v>28</v>
      </c>
      <c r="E84" s="3">
        <v>45497</v>
      </c>
      <c r="F84" s="20">
        <v>45515</v>
      </c>
      <c r="G84" s="20">
        <v>45515</v>
      </c>
      <c r="H84" s="2">
        <v>1191</v>
      </c>
      <c r="I84" s="2">
        <v>1104</v>
      </c>
      <c r="J84" s="4" t="s">
        <v>14</v>
      </c>
      <c r="K84">
        <f>Table1[[#This Row],[Delivered Qty]]/Table1[[#This Row],[Ordered Qty]]</f>
        <v>0.92695214105793455</v>
      </c>
      <c r="L84">
        <f>VLOOKUP(Table1[[#This Row],[Supplier ID]],Suppliers!$A$2:$D$6,4,FALSE)</f>
        <v>18</v>
      </c>
      <c r="M84">
        <f>Table1[[#This Row],[Actual Delivery]]-Table1[[#This Row],[Order Date]]-Table1[[#This Row],[std Lead time]]</f>
        <v>0</v>
      </c>
      <c r="N84">
        <f>IF(AND(Table1[[#This Row],[Status]] = "Delivered", Table1[[#This Row],[Actual Delivery]] &lt;= Table1[[#This Row],[Promised Delivery]],Table1[[#This Row],[FillRate]]&gt;=0.95),1,0)</f>
        <v>0</v>
      </c>
      <c r="O84" t="str">
        <f>VLOOKUP(B84,Products!$A$2:$D$9,3,FALSE)</f>
        <v>Raw Material</v>
      </c>
    </row>
    <row r="85" spans="1:15" x14ac:dyDescent="0.25">
      <c r="A85" s="15" t="s">
        <v>111</v>
      </c>
      <c r="B85" s="5" t="s">
        <v>37</v>
      </c>
      <c r="C85" s="5" t="s">
        <v>26</v>
      </c>
      <c r="D85" s="5" t="s">
        <v>13</v>
      </c>
      <c r="E85" s="6">
        <v>45483</v>
      </c>
      <c r="F85" s="21">
        <v>45490</v>
      </c>
      <c r="G85" s="21">
        <v>45489</v>
      </c>
      <c r="H85" s="5">
        <v>228</v>
      </c>
      <c r="I85" s="5">
        <v>221</v>
      </c>
      <c r="J85" s="4" t="s">
        <v>14</v>
      </c>
      <c r="K85">
        <f>Table1[[#This Row],[Delivered Qty]]/Table1[[#This Row],[Ordered Qty]]</f>
        <v>0.9692982456140351</v>
      </c>
      <c r="L85">
        <f>VLOOKUP(Table1[[#This Row],[Supplier ID]],Suppliers!$A$2:$D$6,4,FALSE)</f>
        <v>7</v>
      </c>
      <c r="M85">
        <f>Table1[[#This Row],[Actual Delivery]]-Table1[[#This Row],[Order Date]]-Table1[[#This Row],[std Lead time]]</f>
        <v>-1</v>
      </c>
      <c r="N85">
        <f>IF(AND(Table1[[#This Row],[Status]] = "Delivered", Table1[[#This Row],[Actual Delivery]] &lt;= Table1[[#This Row],[Promised Delivery]],Table1[[#This Row],[FillRate]]&gt;=0.95),1,0)</f>
        <v>1</v>
      </c>
      <c r="O85" t="str">
        <f>VLOOKUP(B85,Products!$A$2:$D$9,3,FALSE)</f>
        <v>Raw Material</v>
      </c>
    </row>
    <row r="86" spans="1:15" x14ac:dyDescent="0.25">
      <c r="A86" s="14" t="s">
        <v>112</v>
      </c>
      <c r="B86" s="2" t="s">
        <v>33</v>
      </c>
      <c r="C86" s="2" t="s">
        <v>12</v>
      </c>
      <c r="D86" s="2" t="s">
        <v>28</v>
      </c>
      <c r="E86" s="3">
        <v>45475</v>
      </c>
      <c r="F86" s="20">
        <v>45493</v>
      </c>
      <c r="G86" s="20">
        <v>45491</v>
      </c>
      <c r="H86" s="2">
        <v>1506</v>
      </c>
      <c r="I86" s="2">
        <v>1486</v>
      </c>
      <c r="J86" s="4" t="s">
        <v>14</v>
      </c>
      <c r="K86">
        <f>Table1[[#This Row],[Delivered Qty]]/Table1[[#This Row],[Ordered Qty]]</f>
        <v>0.98671978751660028</v>
      </c>
      <c r="L86">
        <f>VLOOKUP(Table1[[#This Row],[Supplier ID]],Suppliers!$A$2:$D$6,4,FALSE)</f>
        <v>18</v>
      </c>
      <c r="M86">
        <f>Table1[[#This Row],[Actual Delivery]]-Table1[[#This Row],[Order Date]]-Table1[[#This Row],[std Lead time]]</f>
        <v>-2</v>
      </c>
      <c r="N86">
        <f>IF(AND(Table1[[#This Row],[Status]] = "Delivered", Table1[[#This Row],[Actual Delivery]] &lt;= Table1[[#This Row],[Promised Delivery]],Table1[[#This Row],[FillRate]]&gt;=0.95),1,0)</f>
        <v>1</v>
      </c>
      <c r="O86" t="str">
        <f>VLOOKUP(B86,Products!$A$2:$D$9,3,FALSE)</f>
        <v>Raw Material</v>
      </c>
    </row>
    <row r="87" spans="1:15" x14ac:dyDescent="0.25">
      <c r="A87" s="15" t="s">
        <v>113</v>
      </c>
      <c r="B87" s="5" t="s">
        <v>44</v>
      </c>
      <c r="C87" s="5" t="s">
        <v>26</v>
      </c>
      <c r="D87" s="5" t="s">
        <v>28</v>
      </c>
      <c r="E87" s="6">
        <v>45492</v>
      </c>
      <c r="F87" s="21">
        <v>45499</v>
      </c>
      <c r="G87" s="21">
        <v>45498</v>
      </c>
      <c r="H87" s="5">
        <v>897</v>
      </c>
      <c r="I87" s="5">
        <v>823</v>
      </c>
      <c r="J87" s="4" t="s">
        <v>14</v>
      </c>
      <c r="K87">
        <f>Table1[[#This Row],[Delivered Qty]]/Table1[[#This Row],[Ordered Qty]]</f>
        <v>0.91750278706800448</v>
      </c>
      <c r="L87">
        <f>VLOOKUP(Table1[[#This Row],[Supplier ID]],Suppliers!$A$2:$D$6,4,FALSE)</f>
        <v>7</v>
      </c>
      <c r="M87">
        <f>Table1[[#This Row],[Actual Delivery]]-Table1[[#This Row],[Order Date]]-Table1[[#This Row],[std Lead time]]</f>
        <v>-1</v>
      </c>
      <c r="N87">
        <f>IF(AND(Table1[[#This Row],[Status]] = "Delivered", Table1[[#This Row],[Actual Delivery]] &lt;= Table1[[#This Row],[Promised Delivery]],Table1[[#This Row],[FillRate]]&gt;=0.95),1,0)</f>
        <v>0</v>
      </c>
      <c r="O87" t="str">
        <f>VLOOKUP(B87,Products!$A$2:$D$9,3,FALSE)</f>
        <v>Finished Goods</v>
      </c>
    </row>
    <row r="88" spans="1:15" x14ac:dyDescent="0.25">
      <c r="A88" s="14" t="s">
        <v>114</v>
      </c>
      <c r="B88" s="2" t="s">
        <v>11</v>
      </c>
      <c r="C88" s="2" t="s">
        <v>12</v>
      </c>
      <c r="D88" s="2" t="s">
        <v>18</v>
      </c>
      <c r="E88" s="3">
        <v>45477</v>
      </c>
      <c r="F88" s="20">
        <v>45495</v>
      </c>
      <c r="G88" s="20">
        <v>45493</v>
      </c>
      <c r="H88" s="2">
        <v>1381</v>
      </c>
      <c r="I88" s="2">
        <v>1268</v>
      </c>
      <c r="J88" s="4" t="s">
        <v>14</v>
      </c>
      <c r="K88">
        <f>Table1[[#This Row],[Delivered Qty]]/Table1[[#This Row],[Ordered Qty]]</f>
        <v>0.91817523533671253</v>
      </c>
      <c r="L88">
        <f>VLOOKUP(Table1[[#This Row],[Supplier ID]],Suppliers!$A$2:$D$6,4,FALSE)</f>
        <v>18</v>
      </c>
      <c r="M88">
        <f>Table1[[#This Row],[Actual Delivery]]-Table1[[#This Row],[Order Date]]-Table1[[#This Row],[std Lead time]]</f>
        <v>-2</v>
      </c>
      <c r="N88">
        <f>IF(AND(Table1[[#This Row],[Status]] = "Delivered", Table1[[#This Row],[Actual Delivery]] &lt;= Table1[[#This Row],[Promised Delivery]],Table1[[#This Row],[FillRate]]&gt;=0.95),1,0)</f>
        <v>0</v>
      </c>
      <c r="O88" t="str">
        <f>VLOOKUP(B88,Products!$A$2:$D$9,3,FALSE)</f>
        <v>Packaging</v>
      </c>
    </row>
    <row r="89" spans="1:15" x14ac:dyDescent="0.25">
      <c r="A89" s="15" t="s">
        <v>115</v>
      </c>
      <c r="B89" s="5" t="s">
        <v>11</v>
      </c>
      <c r="C89" s="5" t="s">
        <v>31</v>
      </c>
      <c r="D89" s="5" t="s">
        <v>13</v>
      </c>
      <c r="E89" s="6">
        <v>45499</v>
      </c>
      <c r="F89" s="21">
        <v>45504</v>
      </c>
      <c r="G89" s="21">
        <v>45502</v>
      </c>
      <c r="H89" s="5">
        <v>442</v>
      </c>
      <c r="I89" s="5">
        <v>399</v>
      </c>
      <c r="J89" s="4" t="s">
        <v>14</v>
      </c>
      <c r="K89">
        <f>Table1[[#This Row],[Delivered Qty]]/Table1[[#This Row],[Ordered Qty]]</f>
        <v>0.90271493212669685</v>
      </c>
      <c r="L89">
        <f>VLOOKUP(Table1[[#This Row],[Supplier ID]],Suppliers!$A$2:$D$6,4,FALSE)</f>
        <v>5</v>
      </c>
      <c r="M89">
        <f>Table1[[#This Row],[Actual Delivery]]-Table1[[#This Row],[Order Date]]-Table1[[#This Row],[std Lead time]]</f>
        <v>-2</v>
      </c>
      <c r="N89">
        <f>IF(AND(Table1[[#This Row],[Status]] = "Delivered", Table1[[#This Row],[Actual Delivery]] &lt;= Table1[[#This Row],[Promised Delivery]],Table1[[#This Row],[FillRate]]&gt;=0.95),1,0)</f>
        <v>0</v>
      </c>
      <c r="O89" t="str">
        <f>VLOOKUP(B89,Products!$A$2:$D$9,3,FALSE)</f>
        <v>Packaging</v>
      </c>
    </row>
    <row r="90" spans="1:15" x14ac:dyDescent="0.25">
      <c r="A90" s="14" t="s">
        <v>116</v>
      </c>
      <c r="B90" s="2" t="s">
        <v>22</v>
      </c>
      <c r="C90" s="2" t="s">
        <v>17</v>
      </c>
      <c r="D90" s="2" t="s">
        <v>13</v>
      </c>
      <c r="E90" s="3">
        <v>45498</v>
      </c>
      <c r="F90" s="20">
        <v>45504</v>
      </c>
      <c r="G90" s="20">
        <v>45503</v>
      </c>
      <c r="H90" s="2">
        <v>808</v>
      </c>
      <c r="I90" s="2">
        <v>796</v>
      </c>
      <c r="J90" s="4" t="s">
        <v>14</v>
      </c>
      <c r="K90">
        <f>Table1[[#This Row],[Delivered Qty]]/Table1[[#This Row],[Ordered Qty]]</f>
        <v>0.98514851485148514</v>
      </c>
      <c r="L90">
        <f>VLOOKUP(Table1[[#This Row],[Supplier ID]],Suppliers!$A$2:$D$6,4,FALSE)</f>
        <v>6</v>
      </c>
      <c r="M90">
        <f>Table1[[#This Row],[Actual Delivery]]-Table1[[#This Row],[Order Date]]-Table1[[#This Row],[std Lead time]]</f>
        <v>-1</v>
      </c>
      <c r="N90">
        <f>IF(AND(Table1[[#This Row],[Status]] = "Delivered", Table1[[#This Row],[Actual Delivery]] &lt;= Table1[[#This Row],[Promised Delivery]],Table1[[#This Row],[FillRate]]&gt;=0.95),1,0)</f>
        <v>1</v>
      </c>
      <c r="O90" t="str">
        <f>VLOOKUP(B90,Products!$A$2:$D$9,3,FALSE)</f>
        <v>Finished Goods</v>
      </c>
    </row>
    <row r="91" spans="1:15" x14ac:dyDescent="0.25">
      <c r="A91" s="15" t="s">
        <v>117</v>
      </c>
      <c r="B91" s="5" t="s">
        <v>22</v>
      </c>
      <c r="C91" s="5" t="s">
        <v>12</v>
      </c>
      <c r="D91" s="5" t="s">
        <v>28</v>
      </c>
      <c r="E91" s="6">
        <v>45493</v>
      </c>
      <c r="F91" s="21">
        <v>45511</v>
      </c>
      <c r="G91" s="21">
        <v>45513</v>
      </c>
      <c r="H91" s="5">
        <v>1481</v>
      </c>
      <c r="I91" s="5">
        <v>1364</v>
      </c>
      <c r="J91" s="4" t="s">
        <v>14</v>
      </c>
      <c r="K91">
        <f>Table1[[#This Row],[Delivered Qty]]/Table1[[#This Row],[Ordered Qty]]</f>
        <v>0.92099932478055369</v>
      </c>
      <c r="L91">
        <f>VLOOKUP(Table1[[#This Row],[Supplier ID]],Suppliers!$A$2:$D$6,4,FALSE)</f>
        <v>18</v>
      </c>
      <c r="M91">
        <f>Table1[[#This Row],[Actual Delivery]]-Table1[[#This Row],[Order Date]]-Table1[[#This Row],[std Lead time]]</f>
        <v>2</v>
      </c>
      <c r="N91">
        <f>IF(AND(Table1[[#This Row],[Status]] = "Delivered", Table1[[#This Row],[Actual Delivery]] &lt;= Table1[[#This Row],[Promised Delivery]],Table1[[#This Row],[FillRate]]&gt;=0.95),1,0)</f>
        <v>0</v>
      </c>
      <c r="O91" t="str">
        <f>VLOOKUP(B91,Products!$A$2:$D$9,3,FALSE)</f>
        <v>Finished Goods</v>
      </c>
    </row>
    <row r="92" spans="1:15" x14ac:dyDescent="0.25">
      <c r="A92" s="14" t="s">
        <v>118</v>
      </c>
      <c r="B92" s="2" t="s">
        <v>16</v>
      </c>
      <c r="C92" s="2" t="s">
        <v>31</v>
      </c>
      <c r="D92" s="2" t="s">
        <v>13</v>
      </c>
      <c r="E92" s="3">
        <v>45479</v>
      </c>
      <c r="F92" s="20">
        <v>45484</v>
      </c>
      <c r="G92" s="20">
        <v>45483</v>
      </c>
      <c r="H92" s="2">
        <v>1122</v>
      </c>
      <c r="I92" s="2">
        <v>1045</v>
      </c>
      <c r="J92" s="4" t="s">
        <v>14</v>
      </c>
      <c r="K92">
        <f>Table1[[#This Row],[Delivered Qty]]/Table1[[#This Row],[Ordered Qty]]</f>
        <v>0.93137254901960786</v>
      </c>
      <c r="L92">
        <f>VLOOKUP(Table1[[#This Row],[Supplier ID]],Suppliers!$A$2:$D$6,4,FALSE)</f>
        <v>5</v>
      </c>
      <c r="M92">
        <f>Table1[[#This Row],[Actual Delivery]]-Table1[[#This Row],[Order Date]]-Table1[[#This Row],[std Lead time]]</f>
        <v>-1</v>
      </c>
      <c r="N92">
        <f>IF(AND(Table1[[#This Row],[Status]] = "Delivered", Table1[[#This Row],[Actual Delivery]] &lt;= Table1[[#This Row],[Promised Delivery]],Table1[[#This Row],[FillRate]]&gt;=0.95),1,0)</f>
        <v>0</v>
      </c>
      <c r="O92" t="str">
        <f>VLOOKUP(B92,Products!$A$2:$D$9,3,FALSE)</f>
        <v>Packaging</v>
      </c>
    </row>
    <row r="93" spans="1:15" x14ac:dyDescent="0.25">
      <c r="A93" s="15" t="s">
        <v>119</v>
      </c>
      <c r="B93" s="5" t="s">
        <v>44</v>
      </c>
      <c r="C93" s="5" t="s">
        <v>12</v>
      </c>
      <c r="D93" s="5" t="s">
        <v>28</v>
      </c>
      <c r="E93" s="6">
        <v>45481</v>
      </c>
      <c r="F93" s="21">
        <v>45499</v>
      </c>
      <c r="G93" s="21">
        <v>45505</v>
      </c>
      <c r="H93" s="5">
        <v>1960</v>
      </c>
      <c r="I93" s="5">
        <v>1852</v>
      </c>
      <c r="J93" s="4" t="s">
        <v>14</v>
      </c>
      <c r="K93">
        <f>Table1[[#This Row],[Delivered Qty]]/Table1[[#This Row],[Ordered Qty]]</f>
        <v>0.94489795918367347</v>
      </c>
      <c r="L93">
        <f>VLOOKUP(Table1[[#This Row],[Supplier ID]],Suppliers!$A$2:$D$6,4,FALSE)</f>
        <v>18</v>
      </c>
      <c r="M93">
        <f>Table1[[#This Row],[Actual Delivery]]-Table1[[#This Row],[Order Date]]-Table1[[#This Row],[std Lead time]]</f>
        <v>6</v>
      </c>
      <c r="N93">
        <f>IF(AND(Table1[[#This Row],[Status]] = "Delivered", Table1[[#This Row],[Actual Delivery]] &lt;= Table1[[#This Row],[Promised Delivery]],Table1[[#This Row],[FillRate]]&gt;=0.95),1,0)</f>
        <v>0</v>
      </c>
      <c r="O93" t="str">
        <f>VLOOKUP(B93,Products!$A$2:$D$9,3,FALSE)</f>
        <v>Finished Goods</v>
      </c>
    </row>
    <row r="94" spans="1:15" x14ac:dyDescent="0.25">
      <c r="A94" s="14" t="s">
        <v>120</v>
      </c>
      <c r="B94" s="2" t="s">
        <v>20</v>
      </c>
      <c r="C94" s="2" t="s">
        <v>12</v>
      </c>
      <c r="D94" s="2" t="s">
        <v>13</v>
      </c>
      <c r="E94" s="3">
        <v>45487</v>
      </c>
      <c r="F94" s="20">
        <v>45505</v>
      </c>
      <c r="G94" s="20">
        <v>45505</v>
      </c>
      <c r="H94" s="2">
        <v>505</v>
      </c>
      <c r="I94" s="2">
        <v>500</v>
      </c>
      <c r="J94" s="4" t="s">
        <v>14</v>
      </c>
      <c r="K94">
        <f>Table1[[#This Row],[Delivered Qty]]/Table1[[#This Row],[Ordered Qty]]</f>
        <v>0.99009900990099009</v>
      </c>
      <c r="L94">
        <f>VLOOKUP(Table1[[#This Row],[Supplier ID]],Suppliers!$A$2:$D$6,4,FALSE)</f>
        <v>18</v>
      </c>
      <c r="M94">
        <f>Table1[[#This Row],[Actual Delivery]]-Table1[[#This Row],[Order Date]]-Table1[[#This Row],[std Lead time]]</f>
        <v>0</v>
      </c>
      <c r="N94">
        <f>IF(AND(Table1[[#This Row],[Status]] = "Delivered", Table1[[#This Row],[Actual Delivery]] &lt;= Table1[[#This Row],[Promised Delivery]],Table1[[#This Row],[FillRate]]&gt;=0.95),1,0)</f>
        <v>1</v>
      </c>
      <c r="O94" t="str">
        <f>VLOOKUP(B94,Products!$A$2:$D$9,3,FALSE)</f>
        <v>Raw Material</v>
      </c>
    </row>
    <row r="95" spans="1:15" x14ac:dyDescent="0.25">
      <c r="A95" s="15" t="s">
        <v>121</v>
      </c>
      <c r="B95" s="5" t="s">
        <v>33</v>
      </c>
      <c r="C95" s="5" t="s">
        <v>26</v>
      </c>
      <c r="D95" s="5" t="s">
        <v>28</v>
      </c>
      <c r="E95" s="6">
        <v>45479</v>
      </c>
      <c r="F95" s="21">
        <v>45486</v>
      </c>
      <c r="G95" s="21">
        <v>45486</v>
      </c>
      <c r="H95" s="5">
        <v>791</v>
      </c>
      <c r="I95" s="5">
        <v>746</v>
      </c>
      <c r="J95" s="4" t="s">
        <v>14</v>
      </c>
      <c r="K95">
        <f>Table1[[#This Row],[Delivered Qty]]/Table1[[#This Row],[Ordered Qty]]</f>
        <v>0.94310998735777496</v>
      </c>
      <c r="L95">
        <f>VLOOKUP(Table1[[#This Row],[Supplier ID]],Suppliers!$A$2:$D$6,4,FALSE)</f>
        <v>7</v>
      </c>
      <c r="M95">
        <f>Table1[[#This Row],[Actual Delivery]]-Table1[[#This Row],[Order Date]]-Table1[[#This Row],[std Lead time]]</f>
        <v>0</v>
      </c>
      <c r="N95">
        <f>IF(AND(Table1[[#This Row],[Status]] = "Delivered", Table1[[#This Row],[Actual Delivery]] &lt;= Table1[[#This Row],[Promised Delivery]],Table1[[#This Row],[FillRate]]&gt;=0.95),1,0)</f>
        <v>0</v>
      </c>
      <c r="O95" t="str">
        <f>VLOOKUP(B95,Products!$A$2:$D$9,3,FALSE)</f>
        <v>Raw Material</v>
      </c>
    </row>
    <row r="96" spans="1:15" x14ac:dyDescent="0.25">
      <c r="A96" s="14" t="s">
        <v>122</v>
      </c>
      <c r="B96" s="2" t="s">
        <v>44</v>
      </c>
      <c r="C96" s="2" t="s">
        <v>12</v>
      </c>
      <c r="D96" s="2" t="s">
        <v>18</v>
      </c>
      <c r="E96" s="3">
        <v>45482</v>
      </c>
      <c r="F96" s="20">
        <v>45500</v>
      </c>
      <c r="G96" s="20">
        <v>45500</v>
      </c>
      <c r="H96" s="2">
        <v>281</v>
      </c>
      <c r="I96" s="2">
        <v>277</v>
      </c>
      <c r="J96" s="4" t="s">
        <v>14</v>
      </c>
      <c r="K96">
        <f>Table1[[#This Row],[Delivered Qty]]/Table1[[#This Row],[Ordered Qty]]</f>
        <v>0.98576512455516019</v>
      </c>
      <c r="L96">
        <f>VLOOKUP(Table1[[#This Row],[Supplier ID]],Suppliers!$A$2:$D$6,4,FALSE)</f>
        <v>18</v>
      </c>
      <c r="M96">
        <f>Table1[[#This Row],[Actual Delivery]]-Table1[[#This Row],[Order Date]]-Table1[[#This Row],[std Lead time]]</f>
        <v>0</v>
      </c>
      <c r="N96">
        <f>IF(AND(Table1[[#This Row],[Status]] = "Delivered", Table1[[#This Row],[Actual Delivery]] &lt;= Table1[[#This Row],[Promised Delivery]],Table1[[#This Row],[FillRate]]&gt;=0.95),1,0)</f>
        <v>1</v>
      </c>
      <c r="O96" t="str">
        <f>VLOOKUP(B96,Products!$A$2:$D$9,3,FALSE)</f>
        <v>Finished Goods</v>
      </c>
    </row>
    <row r="97" spans="1:15" x14ac:dyDescent="0.25">
      <c r="A97" s="15" t="s">
        <v>123</v>
      </c>
      <c r="B97" s="5" t="s">
        <v>30</v>
      </c>
      <c r="C97" s="5" t="s">
        <v>17</v>
      </c>
      <c r="D97" s="5" t="s">
        <v>23</v>
      </c>
      <c r="E97" s="6">
        <v>45474</v>
      </c>
      <c r="F97" s="21">
        <v>45480</v>
      </c>
      <c r="G97" s="21">
        <v>45480</v>
      </c>
      <c r="H97" s="5">
        <v>1912</v>
      </c>
      <c r="I97" s="5">
        <v>1885</v>
      </c>
      <c r="J97" s="4" t="s">
        <v>14</v>
      </c>
      <c r="K97">
        <f>Table1[[#This Row],[Delivered Qty]]/Table1[[#This Row],[Ordered Qty]]</f>
        <v>0.98587866108786615</v>
      </c>
      <c r="L97">
        <f>VLOOKUP(Table1[[#This Row],[Supplier ID]],Suppliers!$A$2:$D$6,4,FALSE)</f>
        <v>6</v>
      </c>
      <c r="M97">
        <f>Table1[[#This Row],[Actual Delivery]]-Table1[[#This Row],[Order Date]]-Table1[[#This Row],[std Lead time]]</f>
        <v>0</v>
      </c>
      <c r="N97">
        <f>IF(AND(Table1[[#This Row],[Status]] = "Delivered", Table1[[#This Row],[Actual Delivery]] &lt;= Table1[[#This Row],[Promised Delivery]],Table1[[#This Row],[FillRate]]&gt;=0.95),1,0)</f>
        <v>1</v>
      </c>
      <c r="O97" t="str">
        <f>VLOOKUP(B97,Products!$A$2:$D$9,3,FALSE)</f>
        <v>Finished Goods</v>
      </c>
    </row>
    <row r="98" spans="1:15" x14ac:dyDescent="0.25">
      <c r="A98" s="14" t="s">
        <v>124</v>
      </c>
      <c r="B98" s="2" t="s">
        <v>11</v>
      </c>
      <c r="C98" s="2" t="s">
        <v>12</v>
      </c>
      <c r="D98" s="2" t="s">
        <v>28</v>
      </c>
      <c r="E98" s="3">
        <v>45498</v>
      </c>
      <c r="F98" s="20">
        <v>45516</v>
      </c>
      <c r="G98" s="20">
        <v>45516</v>
      </c>
      <c r="H98" s="2">
        <v>1105</v>
      </c>
      <c r="I98" s="2">
        <v>1084</v>
      </c>
      <c r="J98" s="4" t="s">
        <v>14</v>
      </c>
      <c r="K98">
        <f>Table1[[#This Row],[Delivered Qty]]/Table1[[#This Row],[Ordered Qty]]</f>
        <v>0.98099547511312213</v>
      </c>
      <c r="L98">
        <f>VLOOKUP(Table1[[#This Row],[Supplier ID]],Suppliers!$A$2:$D$6,4,FALSE)</f>
        <v>18</v>
      </c>
      <c r="M98">
        <f>Table1[[#This Row],[Actual Delivery]]-Table1[[#This Row],[Order Date]]-Table1[[#This Row],[std Lead time]]</f>
        <v>0</v>
      </c>
      <c r="N98">
        <f>IF(AND(Table1[[#This Row],[Status]] = "Delivered", Table1[[#This Row],[Actual Delivery]] &lt;= Table1[[#This Row],[Promised Delivery]],Table1[[#This Row],[FillRate]]&gt;=0.95),1,0)</f>
        <v>1</v>
      </c>
      <c r="O98" t="str">
        <f>VLOOKUP(B98,Products!$A$2:$D$9,3,FALSE)</f>
        <v>Packaging</v>
      </c>
    </row>
    <row r="99" spans="1:15" x14ac:dyDescent="0.25">
      <c r="A99" s="15" t="s">
        <v>125</v>
      </c>
      <c r="B99" s="5" t="s">
        <v>33</v>
      </c>
      <c r="C99" s="5" t="s">
        <v>17</v>
      </c>
      <c r="D99" s="5" t="s">
        <v>18</v>
      </c>
      <c r="E99" s="6">
        <v>45494</v>
      </c>
      <c r="F99" s="21">
        <v>45500</v>
      </c>
      <c r="G99" s="21">
        <v>45514</v>
      </c>
      <c r="H99" s="5">
        <v>912</v>
      </c>
      <c r="I99" s="5">
        <v>858</v>
      </c>
      <c r="J99" s="4" t="s">
        <v>14</v>
      </c>
      <c r="K99">
        <f>Table1[[#This Row],[Delivered Qty]]/Table1[[#This Row],[Ordered Qty]]</f>
        <v>0.94078947368421051</v>
      </c>
      <c r="L99">
        <f>VLOOKUP(Table1[[#This Row],[Supplier ID]],Suppliers!$A$2:$D$6,4,FALSE)</f>
        <v>6</v>
      </c>
      <c r="M99">
        <f>Table1[[#This Row],[Actual Delivery]]-Table1[[#This Row],[Order Date]]-Table1[[#This Row],[std Lead time]]</f>
        <v>14</v>
      </c>
      <c r="N99">
        <f>IF(AND(Table1[[#This Row],[Status]] = "Delivered", Table1[[#This Row],[Actual Delivery]] &lt;= Table1[[#This Row],[Promised Delivery]],Table1[[#This Row],[FillRate]]&gt;=0.95),1,0)</f>
        <v>0</v>
      </c>
      <c r="O99" t="str">
        <f>VLOOKUP(B99,Products!$A$2:$D$9,3,FALSE)</f>
        <v>Raw Material</v>
      </c>
    </row>
    <row r="100" spans="1:15" x14ac:dyDescent="0.25">
      <c r="A100" s="14" t="s">
        <v>126</v>
      </c>
      <c r="B100" s="2" t="s">
        <v>30</v>
      </c>
      <c r="C100" s="2" t="s">
        <v>26</v>
      </c>
      <c r="D100" s="2" t="s">
        <v>13</v>
      </c>
      <c r="E100" s="3">
        <v>45484</v>
      </c>
      <c r="F100" s="20">
        <v>45491</v>
      </c>
      <c r="G100" s="20">
        <v>45490</v>
      </c>
      <c r="H100" s="2">
        <v>1556</v>
      </c>
      <c r="I100" s="2">
        <v>1547</v>
      </c>
      <c r="J100" s="4" t="s">
        <v>14</v>
      </c>
      <c r="K100">
        <f>Table1[[#This Row],[Delivered Qty]]/Table1[[#This Row],[Ordered Qty]]</f>
        <v>0.99421593830334187</v>
      </c>
      <c r="L100">
        <f>VLOOKUP(Table1[[#This Row],[Supplier ID]],Suppliers!$A$2:$D$6,4,FALSE)</f>
        <v>7</v>
      </c>
      <c r="M100">
        <f>Table1[[#This Row],[Actual Delivery]]-Table1[[#This Row],[Order Date]]-Table1[[#This Row],[std Lead time]]</f>
        <v>-1</v>
      </c>
      <c r="N100">
        <f>IF(AND(Table1[[#This Row],[Status]] = "Delivered", Table1[[#This Row],[Actual Delivery]] &lt;= Table1[[#This Row],[Promised Delivery]],Table1[[#This Row],[FillRate]]&gt;=0.95),1,0)</f>
        <v>1</v>
      </c>
      <c r="O100" t="str">
        <f>VLOOKUP(B100,Products!$A$2:$D$9,3,FALSE)</f>
        <v>Finished Goods</v>
      </c>
    </row>
    <row r="101" spans="1:15" x14ac:dyDescent="0.25">
      <c r="A101" s="15" t="s">
        <v>127</v>
      </c>
      <c r="B101" s="5" t="s">
        <v>11</v>
      </c>
      <c r="C101" s="5" t="s">
        <v>57</v>
      </c>
      <c r="D101" s="5" t="s">
        <v>28</v>
      </c>
      <c r="E101" s="6">
        <v>45484</v>
      </c>
      <c r="F101" s="21">
        <v>45505</v>
      </c>
      <c r="G101" s="21">
        <v>45504</v>
      </c>
      <c r="H101" s="5">
        <v>1971</v>
      </c>
      <c r="I101" s="5">
        <v>1760</v>
      </c>
      <c r="J101" s="4" t="s">
        <v>14</v>
      </c>
      <c r="K101">
        <f>Table1[[#This Row],[Delivered Qty]]/Table1[[#This Row],[Ordered Qty]]</f>
        <v>0.89294774226281071</v>
      </c>
      <c r="L101">
        <f>VLOOKUP(Table1[[#This Row],[Supplier ID]],Suppliers!$A$2:$D$6,4,FALSE)</f>
        <v>21</v>
      </c>
      <c r="M101">
        <f>Table1[[#This Row],[Actual Delivery]]-Table1[[#This Row],[Order Date]]-Table1[[#This Row],[std Lead time]]</f>
        <v>-1</v>
      </c>
      <c r="N101">
        <f>IF(AND(Table1[[#This Row],[Status]] = "Delivered", Table1[[#This Row],[Actual Delivery]] &lt;= Table1[[#This Row],[Promised Delivery]],Table1[[#This Row],[FillRate]]&gt;=0.95),1,0)</f>
        <v>0</v>
      </c>
      <c r="O101" t="str">
        <f>VLOOKUP(B101,Products!$A$2:$D$9,3,FALSE)</f>
        <v>Packaging</v>
      </c>
    </row>
    <row r="102" spans="1:15" x14ac:dyDescent="0.25">
      <c r="A102" s="14" t="s">
        <v>128</v>
      </c>
      <c r="B102" s="2" t="s">
        <v>11</v>
      </c>
      <c r="C102" s="2" t="s">
        <v>17</v>
      </c>
      <c r="D102" s="2" t="s">
        <v>18</v>
      </c>
      <c r="E102" s="3">
        <v>45487</v>
      </c>
      <c r="F102" s="20">
        <v>45493</v>
      </c>
      <c r="G102" s="20">
        <v>45492</v>
      </c>
      <c r="H102" s="2">
        <v>1475</v>
      </c>
      <c r="I102" s="2">
        <v>1395</v>
      </c>
      <c r="J102" s="4" t="s">
        <v>14</v>
      </c>
      <c r="K102">
        <f>Table1[[#This Row],[Delivered Qty]]/Table1[[#This Row],[Ordered Qty]]</f>
        <v>0.94576271186440675</v>
      </c>
      <c r="L102">
        <f>VLOOKUP(Table1[[#This Row],[Supplier ID]],Suppliers!$A$2:$D$6,4,FALSE)</f>
        <v>6</v>
      </c>
      <c r="M102">
        <f>Table1[[#This Row],[Actual Delivery]]-Table1[[#This Row],[Order Date]]-Table1[[#This Row],[std Lead time]]</f>
        <v>-1</v>
      </c>
      <c r="N102">
        <f>IF(AND(Table1[[#This Row],[Status]] = "Delivered", Table1[[#This Row],[Actual Delivery]] &lt;= Table1[[#This Row],[Promised Delivery]],Table1[[#This Row],[FillRate]]&gt;=0.95),1,0)</f>
        <v>0</v>
      </c>
      <c r="O102" t="str">
        <f>VLOOKUP(B102,Products!$A$2:$D$9,3,FALSE)</f>
        <v>Packaging</v>
      </c>
    </row>
    <row r="103" spans="1:15" x14ac:dyDescent="0.25">
      <c r="A103" s="15" t="s">
        <v>129</v>
      </c>
      <c r="B103" s="5" t="s">
        <v>44</v>
      </c>
      <c r="C103" s="5" t="s">
        <v>26</v>
      </c>
      <c r="D103" s="5" t="s">
        <v>13</v>
      </c>
      <c r="E103" s="6">
        <v>45482</v>
      </c>
      <c r="F103" s="21">
        <v>45489</v>
      </c>
      <c r="G103" s="21">
        <v>45493</v>
      </c>
      <c r="H103" s="5">
        <v>1630</v>
      </c>
      <c r="I103" s="5">
        <v>1546</v>
      </c>
      <c r="J103" s="4" t="s">
        <v>14</v>
      </c>
      <c r="K103">
        <f>Table1[[#This Row],[Delivered Qty]]/Table1[[#This Row],[Ordered Qty]]</f>
        <v>0.94846625766871162</v>
      </c>
      <c r="L103">
        <f>VLOOKUP(Table1[[#This Row],[Supplier ID]],Suppliers!$A$2:$D$6,4,FALSE)</f>
        <v>7</v>
      </c>
      <c r="M103">
        <f>Table1[[#This Row],[Actual Delivery]]-Table1[[#This Row],[Order Date]]-Table1[[#This Row],[std Lead time]]</f>
        <v>4</v>
      </c>
      <c r="N103">
        <f>IF(AND(Table1[[#This Row],[Status]] = "Delivered", Table1[[#This Row],[Actual Delivery]] &lt;= Table1[[#This Row],[Promised Delivery]],Table1[[#This Row],[FillRate]]&gt;=0.95),1,0)</f>
        <v>0</v>
      </c>
      <c r="O103" t="str">
        <f>VLOOKUP(B103,Products!$A$2:$D$9,3,FALSE)</f>
        <v>Finished Goods</v>
      </c>
    </row>
    <row r="104" spans="1:15" x14ac:dyDescent="0.25">
      <c r="A104" s="14" t="s">
        <v>130</v>
      </c>
      <c r="B104" s="2" t="s">
        <v>11</v>
      </c>
      <c r="C104" s="2" t="s">
        <v>17</v>
      </c>
      <c r="D104" s="2" t="s">
        <v>13</v>
      </c>
      <c r="E104" s="3">
        <v>45496</v>
      </c>
      <c r="F104" s="20">
        <v>45502</v>
      </c>
      <c r="G104" s="20">
        <v>45500</v>
      </c>
      <c r="H104" s="2">
        <v>1331</v>
      </c>
      <c r="I104" s="2">
        <v>1157</v>
      </c>
      <c r="J104" s="4" t="s">
        <v>14</v>
      </c>
      <c r="K104">
        <f>Table1[[#This Row],[Delivered Qty]]/Table1[[#This Row],[Ordered Qty]]</f>
        <v>0.86927122464312545</v>
      </c>
      <c r="L104">
        <f>VLOOKUP(Table1[[#This Row],[Supplier ID]],Suppliers!$A$2:$D$6,4,FALSE)</f>
        <v>6</v>
      </c>
      <c r="M104">
        <f>Table1[[#This Row],[Actual Delivery]]-Table1[[#This Row],[Order Date]]-Table1[[#This Row],[std Lead time]]</f>
        <v>-2</v>
      </c>
      <c r="N104">
        <f>IF(AND(Table1[[#This Row],[Status]] = "Delivered", Table1[[#This Row],[Actual Delivery]] &lt;= Table1[[#This Row],[Promised Delivery]],Table1[[#This Row],[FillRate]]&gt;=0.95),1,0)</f>
        <v>0</v>
      </c>
      <c r="O104" t="str">
        <f>VLOOKUP(B104,Products!$A$2:$D$9,3,FALSE)</f>
        <v>Packaging</v>
      </c>
    </row>
    <row r="105" spans="1:15" x14ac:dyDescent="0.25">
      <c r="A105" s="15" t="s">
        <v>131</v>
      </c>
      <c r="B105" s="5" t="s">
        <v>16</v>
      </c>
      <c r="C105" s="5" t="s">
        <v>57</v>
      </c>
      <c r="D105" s="5" t="s">
        <v>28</v>
      </c>
      <c r="E105" s="6">
        <v>45525</v>
      </c>
      <c r="F105" s="21">
        <v>45546</v>
      </c>
      <c r="G105" s="21">
        <v>45546</v>
      </c>
      <c r="H105" s="5">
        <v>797</v>
      </c>
      <c r="I105" s="5">
        <v>710</v>
      </c>
      <c r="J105" s="4" t="s">
        <v>14</v>
      </c>
      <c r="K105">
        <f>Table1[[#This Row],[Delivered Qty]]/Table1[[#This Row],[Ordered Qty]]</f>
        <v>0.89084065244667499</v>
      </c>
      <c r="L105">
        <f>VLOOKUP(Table1[[#This Row],[Supplier ID]],Suppliers!$A$2:$D$6,4,FALSE)</f>
        <v>21</v>
      </c>
      <c r="M105">
        <f>Table1[[#This Row],[Actual Delivery]]-Table1[[#This Row],[Order Date]]-Table1[[#This Row],[std Lead time]]</f>
        <v>0</v>
      </c>
      <c r="N105">
        <f>IF(AND(Table1[[#This Row],[Status]] = "Delivered", Table1[[#This Row],[Actual Delivery]] &lt;= Table1[[#This Row],[Promised Delivery]],Table1[[#This Row],[FillRate]]&gt;=0.95),1,0)</f>
        <v>0</v>
      </c>
      <c r="O105" t="str">
        <f>VLOOKUP(B105,Products!$A$2:$D$9,3,FALSE)</f>
        <v>Packaging</v>
      </c>
    </row>
    <row r="106" spans="1:15" x14ac:dyDescent="0.25">
      <c r="A106" s="14" t="s">
        <v>132</v>
      </c>
      <c r="B106" s="2" t="s">
        <v>37</v>
      </c>
      <c r="C106" s="2" t="s">
        <v>57</v>
      </c>
      <c r="D106" s="2" t="s">
        <v>18</v>
      </c>
      <c r="E106" s="3">
        <v>45520</v>
      </c>
      <c r="F106" s="20">
        <v>45541</v>
      </c>
      <c r="G106" s="20">
        <v>45539</v>
      </c>
      <c r="H106" s="2">
        <v>985</v>
      </c>
      <c r="I106" s="2">
        <v>905</v>
      </c>
      <c r="J106" s="4" t="s">
        <v>14</v>
      </c>
      <c r="K106">
        <f>Table1[[#This Row],[Delivered Qty]]/Table1[[#This Row],[Ordered Qty]]</f>
        <v>0.91878172588832485</v>
      </c>
      <c r="L106">
        <f>VLOOKUP(Table1[[#This Row],[Supplier ID]],Suppliers!$A$2:$D$6,4,FALSE)</f>
        <v>21</v>
      </c>
      <c r="M106">
        <f>Table1[[#This Row],[Actual Delivery]]-Table1[[#This Row],[Order Date]]-Table1[[#This Row],[std Lead time]]</f>
        <v>-2</v>
      </c>
      <c r="N106">
        <f>IF(AND(Table1[[#This Row],[Status]] = "Delivered", Table1[[#This Row],[Actual Delivery]] &lt;= Table1[[#This Row],[Promised Delivery]],Table1[[#This Row],[FillRate]]&gt;=0.95),1,0)</f>
        <v>0</v>
      </c>
      <c r="O106" t="str">
        <f>VLOOKUP(B106,Products!$A$2:$D$9,3,FALSE)</f>
        <v>Raw Material</v>
      </c>
    </row>
    <row r="107" spans="1:15" x14ac:dyDescent="0.25">
      <c r="A107" s="15" t="s">
        <v>133</v>
      </c>
      <c r="B107" s="5" t="s">
        <v>33</v>
      </c>
      <c r="C107" s="5" t="s">
        <v>26</v>
      </c>
      <c r="D107" s="5" t="s">
        <v>23</v>
      </c>
      <c r="E107" s="6">
        <v>45529</v>
      </c>
      <c r="F107" s="21">
        <v>45536</v>
      </c>
      <c r="G107" s="21">
        <v>45536</v>
      </c>
      <c r="H107" s="5">
        <v>747</v>
      </c>
      <c r="I107" s="5">
        <v>733</v>
      </c>
      <c r="J107" s="4" t="s">
        <v>14</v>
      </c>
      <c r="K107">
        <f>Table1[[#This Row],[Delivered Qty]]/Table1[[#This Row],[Ordered Qty]]</f>
        <v>0.98125836680053546</v>
      </c>
      <c r="L107">
        <f>VLOOKUP(Table1[[#This Row],[Supplier ID]],Suppliers!$A$2:$D$6,4,FALSE)</f>
        <v>7</v>
      </c>
      <c r="M107">
        <f>Table1[[#This Row],[Actual Delivery]]-Table1[[#This Row],[Order Date]]-Table1[[#This Row],[std Lead time]]</f>
        <v>0</v>
      </c>
      <c r="N107">
        <f>IF(AND(Table1[[#This Row],[Status]] = "Delivered", Table1[[#This Row],[Actual Delivery]] &lt;= Table1[[#This Row],[Promised Delivery]],Table1[[#This Row],[FillRate]]&gt;=0.95),1,0)</f>
        <v>1</v>
      </c>
      <c r="O107" t="str">
        <f>VLOOKUP(B107,Products!$A$2:$D$9,3,FALSE)</f>
        <v>Raw Material</v>
      </c>
    </row>
    <row r="108" spans="1:15" x14ac:dyDescent="0.25">
      <c r="A108" s="14" t="s">
        <v>134</v>
      </c>
      <c r="B108" s="2" t="s">
        <v>37</v>
      </c>
      <c r="C108" s="2" t="s">
        <v>12</v>
      </c>
      <c r="D108" s="2" t="s">
        <v>18</v>
      </c>
      <c r="E108" s="3">
        <v>45532</v>
      </c>
      <c r="F108" s="20">
        <v>45550</v>
      </c>
      <c r="G108" s="20">
        <v>45549</v>
      </c>
      <c r="H108" s="2">
        <v>906</v>
      </c>
      <c r="I108" s="2">
        <v>845</v>
      </c>
      <c r="J108" s="4" t="s">
        <v>14</v>
      </c>
      <c r="K108">
        <f>Table1[[#This Row],[Delivered Qty]]/Table1[[#This Row],[Ordered Qty]]</f>
        <v>0.93267108167770418</v>
      </c>
      <c r="L108">
        <f>VLOOKUP(Table1[[#This Row],[Supplier ID]],Suppliers!$A$2:$D$6,4,FALSE)</f>
        <v>18</v>
      </c>
      <c r="M108">
        <f>Table1[[#This Row],[Actual Delivery]]-Table1[[#This Row],[Order Date]]-Table1[[#This Row],[std Lead time]]</f>
        <v>-1</v>
      </c>
      <c r="N108">
        <f>IF(AND(Table1[[#This Row],[Status]] = "Delivered", Table1[[#This Row],[Actual Delivery]] &lt;= Table1[[#This Row],[Promised Delivery]],Table1[[#This Row],[FillRate]]&gt;=0.95),1,0)</f>
        <v>0</v>
      </c>
      <c r="O108" t="str">
        <f>VLOOKUP(B108,Products!$A$2:$D$9,3,FALSE)</f>
        <v>Raw Material</v>
      </c>
    </row>
    <row r="109" spans="1:15" x14ac:dyDescent="0.25">
      <c r="A109" s="15" t="s">
        <v>135</v>
      </c>
      <c r="B109" s="5" t="s">
        <v>22</v>
      </c>
      <c r="C109" s="5" t="s">
        <v>57</v>
      </c>
      <c r="D109" s="5" t="s">
        <v>23</v>
      </c>
      <c r="E109" s="6">
        <v>45532</v>
      </c>
      <c r="F109" s="21">
        <v>45553</v>
      </c>
      <c r="G109" s="21">
        <v>45563</v>
      </c>
      <c r="H109" s="5">
        <v>1371</v>
      </c>
      <c r="I109" s="5">
        <v>1286</v>
      </c>
      <c r="J109" s="4" t="s">
        <v>14</v>
      </c>
      <c r="K109">
        <f>Table1[[#This Row],[Delivered Qty]]/Table1[[#This Row],[Ordered Qty]]</f>
        <v>0.93800145878920493</v>
      </c>
      <c r="L109">
        <f>VLOOKUP(Table1[[#This Row],[Supplier ID]],Suppliers!$A$2:$D$6,4,FALSE)</f>
        <v>21</v>
      </c>
      <c r="M109">
        <f>Table1[[#This Row],[Actual Delivery]]-Table1[[#This Row],[Order Date]]-Table1[[#This Row],[std Lead time]]</f>
        <v>10</v>
      </c>
      <c r="N109">
        <f>IF(AND(Table1[[#This Row],[Status]] = "Delivered", Table1[[#This Row],[Actual Delivery]] &lt;= Table1[[#This Row],[Promised Delivery]],Table1[[#This Row],[FillRate]]&gt;=0.95),1,0)</f>
        <v>0</v>
      </c>
      <c r="O109" t="str">
        <f>VLOOKUP(B109,Products!$A$2:$D$9,3,FALSE)</f>
        <v>Finished Goods</v>
      </c>
    </row>
    <row r="110" spans="1:15" x14ac:dyDescent="0.25">
      <c r="A110" s="14" t="s">
        <v>136</v>
      </c>
      <c r="B110" s="2" t="s">
        <v>22</v>
      </c>
      <c r="C110" s="2" t="s">
        <v>26</v>
      </c>
      <c r="D110" s="2" t="s">
        <v>23</v>
      </c>
      <c r="E110" s="3">
        <v>45528</v>
      </c>
      <c r="F110" s="20">
        <v>45535</v>
      </c>
      <c r="G110" s="20">
        <v>45539</v>
      </c>
      <c r="H110" s="2">
        <v>990</v>
      </c>
      <c r="I110" s="2">
        <v>988</v>
      </c>
      <c r="J110" s="4" t="s">
        <v>14</v>
      </c>
      <c r="K110">
        <f>Table1[[#This Row],[Delivered Qty]]/Table1[[#This Row],[Ordered Qty]]</f>
        <v>0.99797979797979797</v>
      </c>
      <c r="L110">
        <f>VLOOKUP(Table1[[#This Row],[Supplier ID]],Suppliers!$A$2:$D$6,4,FALSE)</f>
        <v>7</v>
      </c>
      <c r="M110">
        <f>Table1[[#This Row],[Actual Delivery]]-Table1[[#This Row],[Order Date]]-Table1[[#This Row],[std Lead time]]</f>
        <v>4</v>
      </c>
      <c r="N110">
        <f>IF(AND(Table1[[#This Row],[Status]] = "Delivered", Table1[[#This Row],[Actual Delivery]] &lt;= Table1[[#This Row],[Promised Delivery]],Table1[[#This Row],[FillRate]]&gt;=0.95),1,0)</f>
        <v>0</v>
      </c>
      <c r="O110" t="str">
        <f>VLOOKUP(B110,Products!$A$2:$D$9,3,FALSE)</f>
        <v>Finished Goods</v>
      </c>
    </row>
    <row r="111" spans="1:15" x14ac:dyDescent="0.25">
      <c r="A111" s="15" t="s">
        <v>137</v>
      </c>
      <c r="B111" s="5" t="s">
        <v>33</v>
      </c>
      <c r="C111" s="5" t="s">
        <v>57</v>
      </c>
      <c r="D111" s="5" t="s">
        <v>28</v>
      </c>
      <c r="E111" s="6">
        <v>45509</v>
      </c>
      <c r="F111" s="21">
        <v>45530</v>
      </c>
      <c r="G111" s="21">
        <v>45534</v>
      </c>
      <c r="H111" s="5">
        <v>404</v>
      </c>
      <c r="I111" s="5">
        <v>384</v>
      </c>
      <c r="J111" s="4" t="s">
        <v>14</v>
      </c>
      <c r="K111">
        <f>Table1[[#This Row],[Delivered Qty]]/Table1[[#This Row],[Ordered Qty]]</f>
        <v>0.95049504950495045</v>
      </c>
      <c r="L111">
        <f>VLOOKUP(Table1[[#This Row],[Supplier ID]],Suppliers!$A$2:$D$6,4,FALSE)</f>
        <v>21</v>
      </c>
      <c r="M111">
        <f>Table1[[#This Row],[Actual Delivery]]-Table1[[#This Row],[Order Date]]-Table1[[#This Row],[std Lead time]]</f>
        <v>4</v>
      </c>
      <c r="N111">
        <f>IF(AND(Table1[[#This Row],[Status]] = "Delivered", Table1[[#This Row],[Actual Delivery]] &lt;= Table1[[#This Row],[Promised Delivery]],Table1[[#This Row],[FillRate]]&gt;=0.95),1,0)</f>
        <v>0</v>
      </c>
      <c r="O111" t="str">
        <f>VLOOKUP(B111,Products!$A$2:$D$9,3,FALSE)</f>
        <v>Raw Material</v>
      </c>
    </row>
    <row r="112" spans="1:15" x14ac:dyDescent="0.25">
      <c r="A112" s="14" t="s">
        <v>138</v>
      </c>
      <c r="B112" s="2" t="s">
        <v>44</v>
      </c>
      <c r="C112" s="2" t="s">
        <v>26</v>
      </c>
      <c r="D112" s="2" t="s">
        <v>13</v>
      </c>
      <c r="E112" s="3">
        <v>45518</v>
      </c>
      <c r="F112" s="20">
        <v>45525</v>
      </c>
      <c r="G112" s="20">
        <v>45524</v>
      </c>
      <c r="H112" s="2">
        <v>893</v>
      </c>
      <c r="I112" s="2">
        <v>859</v>
      </c>
      <c r="J112" s="4" t="s">
        <v>14</v>
      </c>
      <c r="K112">
        <f>Table1[[#This Row],[Delivered Qty]]/Table1[[#This Row],[Ordered Qty]]</f>
        <v>0.96192609182530797</v>
      </c>
      <c r="L112">
        <f>VLOOKUP(Table1[[#This Row],[Supplier ID]],Suppliers!$A$2:$D$6,4,FALSE)</f>
        <v>7</v>
      </c>
      <c r="M112">
        <f>Table1[[#This Row],[Actual Delivery]]-Table1[[#This Row],[Order Date]]-Table1[[#This Row],[std Lead time]]</f>
        <v>-1</v>
      </c>
      <c r="N112">
        <f>IF(AND(Table1[[#This Row],[Status]] = "Delivered", Table1[[#This Row],[Actual Delivery]] &lt;= Table1[[#This Row],[Promised Delivery]],Table1[[#This Row],[FillRate]]&gt;=0.95),1,0)</f>
        <v>1</v>
      </c>
      <c r="O112" t="str">
        <f>VLOOKUP(B112,Products!$A$2:$D$9,3,FALSE)</f>
        <v>Finished Goods</v>
      </c>
    </row>
    <row r="113" spans="1:15" x14ac:dyDescent="0.25">
      <c r="A113" s="15" t="s">
        <v>139</v>
      </c>
      <c r="B113" s="5" t="s">
        <v>22</v>
      </c>
      <c r="C113" s="5" t="s">
        <v>26</v>
      </c>
      <c r="D113" s="5" t="s">
        <v>23</v>
      </c>
      <c r="E113" s="6">
        <v>45532</v>
      </c>
      <c r="F113" s="21">
        <v>45539</v>
      </c>
      <c r="G113" s="21">
        <v>45553</v>
      </c>
      <c r="H113" s="5">
        <v>1986</v>
      </c>
      <c r="I113" s="5">
        <v>1894</v>
      </c>
      <c r="J113" s="4" t="s">
        <v>14</v>
      </c>
      <c r="K113">
        <f>Table1[[#This Row],[Delivered Qty]]/Table1[[#This Row],[Ordered Qty]]</f>
        <v>0.95367573011077544</v>
      </c>
      <c r="L113">
        <f>VLOOKUP(Table1[[#This Row],[Supplier ID]],Suppliers!$A$2:$D$6,4,FALSE)</f>
        <v>7</v>
      </c>
      <c r="M113">
        <f>Table1[[#This Row],[Actual Delivery]]-Table1[[#This Row],[Order Date]]-Table1[[#This Row],[std Lead time]]</f>
        <v>14</v>
      </c>
      <c r="N113">
        <f>IF(AND(Table1[[#This Row],[Status]] = "Delivered", Table1[[#This Row],[Actual Delivery]] &lt;= Table1[[#This Row],[Promised Delivery]],Table1[[#This Row],[FillRate]]&gt;=0.95),1,0)</f>
        <v>0</v>
      </c>
      <c r="O113" t="str">
        <f>VLOOKUP(B113,Products!$A$2:$D$9,3,FALSE)</f>
        <v>Finished Goods</v>
      </c>
    </row>
    <row r="114" spans="1:15" x14ac:dyDescent="0.25">
      <c r="A114" s="14" t="s">
        <v>140</v>
      </c>
      <c r="B114" s="2" t="s">
        <v>16</v>
      </c>
      <c r="C114" s="2" t="s">
        <v>31</v>
      </c>
      <c r="D114" s="2" t="s">
        <v>23</v>
      </c>
      <c r="E114" s="3">
        <v>45512</v>
      </c>
      <c r="F114" s="20">
        <v>45517</v>
      </c>
      <c r="G114" s="20">
        <v>45515</v>
      </c>
      <c r="H114" s="2">
        <v>1757</v>
      </c>
      <c r="I114" s="2">
        <v>1615</v>
      </c>
      <c r="J114" s="4" t="s">
        <v>14</v>
      </c>
      <c r="K114">
        <f>Table1[[#This Row],[Delivered Qty]]/Table1[[#This Row],[Ordered Qty]]</f>
        <v>0.91918042117245302</v>
      </c>
      <c r="L114">
        <f>VLOOKUP(Table1[[#This Row],[Supplier ID]],Suppliers!$A$2:$D$6,4,FALSE)</f>
        <v>5</v>
      </c>
      <c r="M114">
        <f>Table1[[#This Row],[Actual Delivery]]-Table1[[#This Row],[Order Date]]-Table1[[#This Row],[std Lead time]]</f>
        <v>-2</v>
      </c>
      <c r="N114">
        <f>IF(AND(Table1[[#This Row],[Status]] = "Delivered", Table1[[#This Row],[Actual Delivery]] &lt;= Table1[[#This Row],[Promised Delivery]],Table1[[#This Row],[FillRate]]&gt;=0.95),1,0)</f>
        <v>0</v>
      </c>
      <c r="O114" t="str">
        <f>VLOOKUP(B114,Products!$A$2:$D$9,3,FALSE)</f>
        <v>Packaging</v>
      </c>
    </row>
    <row r="115" spans="1:15" x14ac:dyDescent="0.25">
      <c r="A115" s="15" t="s">
        <v>141</v>
      </c>
      <c r="B115" s="5" t="s">
        <v>16</v>
      </c>
      <c r="C115" s="5" t="s">
        <v>57</v>
      </c>
      <c r="D115" s="5" t="s">
        <v>13</v>
      </c>
      <c r="E115" s="6">
        <v>45527</v>
      </c>
      <c r="F115" s="21">
        <v>45548</v>
      </c>
      <c r="G115" s="21">
        <v>45549</v>
      </c>
      <c r="H115" s="5">
        <v>864</v>
      </c>
      <c r="I115" s="5">
        <v>825</v>
      </c>
      <c r="J115" s="4" t="s">
        <v>14</v>
      </c>
      <c r="K115">
        <f>Table1[[#This Row],[Delivered Qty]]/Table1[[#This Row],[Ordered Qty]]</f>
        <v>0.95486111111111116</v>
      </c>
      <c r="L115">
        <f>VLOOKUP(Table1[[#This Row],[Supplier ID]],Suppliers!$A$2:$D$6,4,FALSE)</f>
        <v>21</v>
      </c>
      <c r="M115">
        <f>Table1[[#This Row],[Actual Delivery]]-Table1[[#This Row],[Order Date]]-Table1[[#This Row],[std Lead time]]</f>
        <v>1</v>
      </c>
      <c r="N115">
        <f>IF(AND(Table1[[#This Row],[Status]] = "Delivered", Table1[[#This Row],[Actual Delivery]] &lt;= Table1[[#This Row],[Promised Delivery]],Table1[[#This Row],[FillRate]]&gt;=0.95),1,0)</f>
        <v>0</v>
      </c>
      <c r="O115" t="str">
        <f>VLOOKUP(B115,Products!$A$2:$D$9,3,FALSE)</f>
        <v>Packaging</v>
      </c>
    </row>
    <row r="116" spans="1:15" x14ac:dyDescent="0.25">
      <c r="A116" s="14" t="s">
        <v>142</v>
      </c>
      <c r="B116" s="2" t="s">
        <v>37</v>
      </c>
      <c r="C116" s="2" t="s">
        <v>12</v>
      </c>
      <c r="D116" s="2" t="s">
        <v>23</v>
      </c>
      <c r="E116" s="3">
        <v>45518</v>
      </c>
      <c r="F116" s="20">
        <v>45536</v>
      </c>
      <c r="G116" s="20">
        <v>45535</v>
      </c>
      <c r="H116" s="2">
        <v>1359</v>
      </c>
      <c r="I116" s="2">
        <v>1315</v>
      </c>
      <c r="J116" s="4" t="s">
        <v>14</v>
      </c>
      <c r="K116">
        <f>Table1[[#This Row],[Delivered Qty]]/Table1[[#This Row],[Ordered Qty]]</f>
        <v>0.96762325239146429</v>
      </c>
      <c r="L116">
        <f>VLOOKUP(Table1[[#This Row],[Supplier ID]],Suppliers!$A$2:$D$6,4,FALSE)</f>
        <v>18</v>
      </c>
      <c r="M116">
        <f>Table1[[#This Row],[Actual Delivery]]-Table1[[#This Row],[Order Date]]-Table1[[#This Row],[std Lead time]]</f>
        <v>-1</v>
      </c>
      <c r="N116">
        <f>IF(AND(Table1[[#This Row],[Status]] = "Delivered", Table1[[#This Row],[Actual Delivery]] &lt;= Table1[[#This Row],[Promised Delivery]],Table1[[#This Row],[FillRate]]&gt;=0.95),1,0)</f>
        <v>1</v>
      </c>
      <c r="O116" t="str">
        <f>VLOOKUP(B116,Products!$A$2:$D$9,3,FALSE)</f>
        <v>Raw Material</v>
      </c>
    </row>
    <row r="117" spans="1:15" x14ac:dyDescent="0.25">
      <c r="A117" s="15" t="s">
        <v>143</v>
      </c>
      <c r="B117" s="5" t="s">
        <v>33</v>
      </c>
      <c r="C117" s="5" t="s">
        <v>31</v>
      </c>
      <c r="D117" s="5" t="s">
        <v>13</v>
      </c>
      <c r="E117" s="6">
        <v>45507</v>
      </c>
      <c r="F117" s="21">
        <v>45512</v>
      </c>
      <c r="G117" s="21">
        <v>45510</v>
      </c>
      <c r="H117" s="5">
        <v>1219</v>
      </c>
      <c r="I117" s="5">
        <v>1208</v>
      </c>
      <c r="J117" s="4" t="s">
        <v>14</v>
      </c>
      <c r="K117">
        <f>Table1[[#This Row],[Delivered Qty]]/Table1[[#This Row],[Ordered Qty]]</f>
        <v>0.99097621000820346</v>
      </c>
      <c r="L117">
        <f>VLOOKUP(Table1[[#This Row],[Supplier ID]],Suppliers!$A$2:$D$6,4,FALSE)</f>
        <v>5</v>
      </c>
      <c r="M117">
        <f>Table1[[#This Row],[Actual Delivery]]-Table1[[#This Row],[Order Date]]-Table1[[#This Row],[std Lead time]]</f>
        <v>-2</v>
      </c>
      <c r="N117">
        <f>IF(AND(Table1[[#This Row],[Status]] = "Delivered", Table1[[#This Row],[Actual Delivery]] &lt;= Table1[[#This Row],[Promised Delivery]],Table1[[#This Row],[FillRate]]&gt;=0.95),1,0)</f>
        <v>1</v>
      </c>
      <c r="O117" t="str">
        <f>VLOOKUP(B117,Products!$A$2:$D$9,3,FALSE)</f>
        <v>Raw Material</v>
      </c>
    </row>
    <row r="118" spans="1:15" x14ac:dyDescent="0.25">
      <c r="A118" s="14" t="s">
        <v>144</v>
      </c>
      <c r="B118" s="2" t="s">
        <v>33</v>
      </c>
      <c r="C118" s="2" t="s">
        <v>31</v>
      </c>
      <c r="D118" s="2" t="s">
        <v>18</v>
      </c>
      <c r="E118" s="3">
        <v>45525</v>
      </c>
      <c r="F118" s="20">
        <v>45530</v>
      </c>
      <c r="G118" s="20">
        <v>45530</v>
      </c>
      <c r="H118" s="2">
        <v>219</v>
      </c>
      <c r="I118" s="2">
        <v>216</v>
      </c>
      <c r="J118" s="4" t="s">
        <v>14</v>
      </c>
      <c r="K118">
        <f>Table1[[#This Row],[Delivered Qty]]/Table1[[#This Row],[Ordered Qty]]</f>
        <v>0.98630136986301364</v>
      </c>
      <c r="L118">
        <f>VLOOKUP(Table1[[#This Row],[Supplier ID]],Suppliers!$A$2:$D$6,4,FALSE)</f>
        <v>5</v>
      </c>
      <c r="M118">
        <f>Table1[[#This Row],[Actual Delivery]]-Table1[[#This Row],[Order Date]]-Table1[[#This Row],[std Lead time]]</f>
        <v>0</v>
      </c>
      <c r="N118">
        <f>IF(AND(Table1[[#This Row],[Status]] = "Delivered", Table1[[#This Row],[Actual Delivery]] &lt;= Table1[[#This Row],[Promised Delivery]],Table1[[#This Row],[FillRate]]&gt;=0.95),1,0)</f>
        <v>1</v>
      </c>
      <c r="O118" t="str">
        <f>VLOOKUP(B118,Products!$A$2:$D$9,3,FALSE)</f>
        <v>Raw Material</v>
      </c>
    </row>
    <row r="119" spans="1:15" x14ac:dyDescent="0.25">
      <c r="A119" s="15" t="s">
        <v>145</v>
      </c>
      <c r="B119" s="5" t="s">
        <v>44</v>
      </c>
      <c r="C119" s="5" t="s">
        <v>12</v>
      </c>
      <c r="D119" s="5" t="s">
        <v>13</v>
      </c>
      <c r="E119" s="6">
        <v>45507</v>
      </c>
      <c r="F119" s="21">
        <v>45525</v>
      </c>
      <c r="G119" s="21">
        <v>45530</v>
      </c>
      <c r="H119" s="5">
        <v>812</v>
      </c>
      <c r="I119" s="5">
        <v>782</v>
      </c>
      <c r="J119" s="4" t="s">
        <v>14</v>
      </c>
      <c r="K119">
        <f>Table1[[#This Row],[Delivered Qty]]/Table1[[#This Row],[Ordered Qty]]</f>
        <v>0.96305418719211822</v>
      </c>
      <c r="L119">
        <f>VLOOKUP(Table1[[#This Row],[Supplier ID]],Suppliers!$A$2:$D$6,4,FALSE)</f>
        <v>18</v>
      </c>
      <c r="M119">
        <f>Table1[[#This Row],[Actual Delivery]]-Table1[[#This Row],[Order Date]]-Table1[[#This Row],[std Lead time]]</f>
        <v>5</v>
      </c>
      <c r="N119">
        <f>IF(AND(Table1[[#This Row],[Status]] = "Delivered", Table1[[#This Row],[Actual Delivery]] &lt;= Table1[[#This Row],[Promised Delivery]],Table1[[#This Row],[FillRate]]&gt;=0.95),1,0)</f>
        <v>0</v>
      </c>
      <c r="O119" t="str">
        <f>VLOOKUP(B119,Products!$A$2:$D$9,3,FALSE)</f>
        <v>Finished Goods</v>
      </c>
    </row>
    <row r="120" spans="1:15" x14ac:dyDescent="0.25">
      <c r="A120" s="14" t="s">
        <v>146</v>
      </c>
      <c r="B120" s="2" t="s">
        <v>22</v>
      </c>
      <c r="C120" s="2" t="s">
        <v>12</v>
      </c>
      <c r="D120" s="2" t="s">
        <v>18</v>
      </c>
      <c r="E120" s="3">
        <v>45532</v>
      </c>
      <c r="F120" s="20">
        <v>45550</v>
      </c>
      <c r="G120" s="20">
        <v>45549</v>
      </c>
      <c r="H120" s="2">
        <v>1947</v>
      </c>
      <c r="I120" s="2">
        <v>1846</v>
      </c>
      <c r="J120" s="4" t="s">
        <v>14</v>
      </c>
      <c r="K120">
        <f>Table1[[#This Row],[Delivered Qty]]/Table1[[#This Row],[Ordered Qty]]</f>
        <v>0.9481253210066769</v>
      </c>
      <c r="L120">
        <f>VLOOKUP(Table1[[#This Row],[Supplier ID]],Suppliers!$A$2:$D$6,4,FALSE)</f>
        <v>18</v>
      </c>
      <c r="M120">
        <f>Table1[[#This Row],[Actual Delivery]]-Table1[[#This Row],[Order Date]]-Table1[[#This Row],[std Lead time]]</f>
        <v>-1</v>
      </c>
      <c r="N120">
        <f>IF(AND(Table1[[#This Row],[Status]] = "Delivered", Table1[[#This Row],[Actual Delivery]] &lt;= Table1[[#This Row],[Promised Delivery]],Table1[[#This Row],[FillRate]]&gt;=0.95),1,0)</f>
        <v>0</v>
      </c>
      <c r="O120" t="str">
        <f>VLOOKUP(B120,Products!$A$2:$D$9,3,FALSE)</f>
        <v>Finished Goods</v>
      </c>
    </row>
    <row r="121" spans="1:15" x14ac:dyDescent="0.25">
      <c r="A121" s="15" t="s">
        <v>147</v>
      </c>
      <c r="B121" s="5" t="s">
        <v>20</v>
      </c>
      <c r="C121" s="5" t="s">
        <v>57</v>
      </c>
      <c r="D121" s="5" t="s">
        <v>23</v>
      </c>
      <c r="E121" s="6">
        <v>45523</v>
      </c>
      <c r="F121" s="21">
        <v>45544</v>
      </c>
      <c r="G121" s="21">
        <v>45555</v>
      </c>
      <c r="H121" s="5">
        <v>244</v>
      </c>
      <c r="I121" s="5">
        <v>243</v>
      </c>
      <c r="J121" s="4" t="s">
        <v>14</v>
      </c>
      <c r="K121">
        <f>Table1[[#This Row],[Delivered Qty]]/Table1[[#This Row],[Ordered Qty]]</f>
        <v>0.99590163934426235</v>
      </c>
      <c r="L121">
        <f>VLOOKUP(Table1[[#This Row],[Supplier ID]],Suppliers!$A$2:$D$6,4,FALSE)</f>
        <v>21</v>
      </c>
      <c r="M121">
        <f>Table1[[#This Row],[Actual Delivery]]-Table1[[#This Row],[Order Date]]-Table1[[#This Row],[std Lead time]]</f>
        <v>11</v>
      </c>
      <c r="N121">
        <f>IF(AND(Table1[[#This Row],[Status]] = "Delivered", Table1[[#This Row],[Actual Delivery]] &lt;= Table1[[#This Row],[Promised Delivery]],Table1[[#This Row],[FillRate]]&gt;=0.95),1,0)</f>
        <v>0</v>
      </c>
      <c r="O121" t="str">
        <f>VLOOKUP(B121,Products!$A$2:$D$9,3,FALSE)</f>
        <v>Raw Material</v>
      </c>
    </row>
    <row r="122" spans="1:15" x14ac:dyDescent="0.25">
      <c r="A122" s="14" t="s">
        <v>148</v>
      </c>
      <c r="B122" s="2" t="s">
        <v>22</v>
      </c>
      <c r="C122" s="2" t="s">
        <v>12</v>
      </c>
      <c r="D122" s="2" t="s">
        <v>28</v>
      </c>
      <c r="E122" s="3">
        <v>45523</v>
      </c>
      <c r="F122" s="20">
        <v>45541</v>
      </c>
      <c r="G122" s="20">
        <v>45547</v>
      </c>
      <c r="H122" s="2">
        <v>1217</v>
      </c>
      <c r="I122" s="2">
        <v>1196</v>
      </c>
      <c r="J122" s="4" t="s">
        <v>14</v>
      </c>
      <c r="K122">
        <f>Table1[[#This Row],[Delivered Qty]]/Table1[[#This Row],[Ordered Qty]]</f>
        <v>0.98274445357436324</v>
      </c>
      <c r="L122">
        <f>VLOOKUP(Table1[[#This Row],[Supplier ID]],Suppliers!$A$2:$D$6,4,FALSE)</f>
        <v>18</v>
      </c>
      <c r="M122">
        <f>Table1[[#This Row],[Actual Delivery]]-Table1[[#This Row],[Order Date]]-Table1[[#This Row],[std Lead time]]</f>
        <v>6</v>
      </c>
      <c r="N122">
        <f>IF(AND(Table1[[#This Row],[Status]] = "Delivered", Table1[[#This Row],[Actual Delivery]] &lt;= Table1[[#This Row],[Promised Delivery]],Table1[[#This Row],[FillRate]]&gt;=0.95),1,0)</f>
        <v>0</v>
      </c>
      <c r="O122" t="str">
        <f>VLOOKUP(B122,Products!$A$2:$D$9,3,FALSE)</f>
        <v>Finished Goods</v>
      </c>
    </row>
    <row r="123" spans="1:15" x14ac:dyDescent="0.25">
      <c r="A123" s="15" t="s">
        <v>149</v>
      </c>
      <c r="B123" s="5" t="s">
        <v>37</v>
      </c>
      <c r="C123" s="5" t="s">
        <v>31</v>
      </c>
      <c r="D123" s="5" t="s">
        <v>23</v>
      </c>
      <c r="E123" s="6">
        <v>45512</v>
      </c>
      <c r="F123" s="21">
        <v>45517</v>
      </c>
      <c r="G123" s="21">
        <v>45517</v>
      </c>
      <c r="H123" s="5">
        <v>1747</v>
      </c>
      <c r="I123" s="5">
        <v>1698</v>
      </c>
      <c r="J123" s="4" t="s">
        <v>14</v>
      </c>
      <c r="K123">
        <f>Table1[[#This Row],[Delivered Qty]]/Table1[[#This Row],[Ordered Qty]]</f>
        <v>0.97195191757298227</v>
      </c>
      <c r="L123">
        <f>VLOOKUP(Table1[[#This Row],[Supplier ID]],Suppliers!$A$2:$D$6,4,FALSE)</f>
        <v>5</v>
      </c>
      <c r="M123">
        <f>Table1[[#This Row],[Actual Delivery]]-Table1[[#This Row],[Order Date]]-Table1[[#This Row],[std Lead time]]</f>
        <v>0</v>
      </c>
      <c r="N123">
        <f>IF(AND(Table1[[#This Row],[Status]] = "Delivered", Table1[[#This Row],[Actual Delivery]] &lt;= Table1[[#This Row],[Promised Delivery]],Table1[[#This Row],[FillRate]]&gt;=0.95),1,0)</f>
        <v>1</v>
      </c>
      <c r="O123" t="str">
        <f>VLOOKUP(B123,Products!$A$2:$D$9,3,FALSE)</f>
        <v>Raw Material</v>
      </c>
    </row>
    <row r="124" spans="1:15" x14ac:dyDescent="0.25">
      <c r="A124" s="14" t="s">
        <v>150</v>
      </c>
      <c r="B124" s="2" t="s">
        <v>33</v>
      </c>
      <c r="C124" s="2" t="s">
        <v>26</v>
      </c>
      <c r="D124" s="2" t="s">
        <v>28</v>
      </c>
      <c r="E124" s="3">
        <v>45514</v>
      </c>
      <c r="F124" s="20">
        <v>45521</v>
      </c>
      <c r="G124" s="20">
        <v>45520</v>
      </c>
      <c r="H124" s="2">
        <v>1699</v>
      </c>
      <c r="I124" s="2">
        <v>1551</v>
      </c>
      <c r="J124" s="4" t="s">
        <v>14</v>
      </c>
      <c r="K124">
        <f>Table1[[#This Row],[Delivered Qty]]/Table1[[#This Row],[Ordered Qty]]</f>
        <v>0.91288993525603301</v>
      </c>
      <c r="L124">
        <f>VLOOKUP(Table1[[#This Row],[Supplier ID]],Suppliers!$A$2:$D$6,4,FALSE)</f>
        <v>7</v>
      </c>
      <c r="M124">
        <f>Table1[[#This Row],[Actual Delivery]]-Table1[[#This Row],[Order Date]]-Table1[[#This Row],[std Lead time]]</f>
        <v>-1</v>
      </c>
      <c r="N124">
        <f>IF(AND(Table1[[#This Row],[Status]] = "Delivered", Table1[[#This Row],[Actual Delivery]] &lt;= Table1[[#This Row],[Promised Delivery]],Table1[[#This Row],[FillRate]]&gt;=0.95),1,0)</f>
        <v>0</v>
      </c>
      <c r="O124" t="str">
        <f>VLOOKUP(B124,Products!$A$2:$D$9,3,FALSE)</f>
        <v>Raw Material</v>
      </c>
    </row>
    <row r="125" spans="1:15" x14ac:dyDescent="0.25">
      <c r="A125" s="15" t="s">
        <v>151</v>
      </c>
      <c r="B125" s="5" t="s">
        <v>37</v>
      </c>
      <c r="C125" s="5" t="s">
        <v>12</v>
      </c>
      <c r="D125" s="5" t="s">
        <v>18</v>
      </c>
      <c r="E125" s="6">
        <v>45510</v>
      </c>
      <c r="F125" s="21">
        <v>45528</v>
      </c>
      <c r="G125" s="21">
        <v>45528</v>
      </c>
      <c r="H125" s="5">
        <v>1994</v>
      </c>
      <c r="I125" s="5">
        <v>1988</v>
      </c>
      <c r="J125" s="4" t="s">
        <v>14</v>
      </c>
      <c r="K125">
        <f>Table1[[#This Row],[Delivered Qty]]/Table1[[#This Row],[Ordered Qty]]</f>
        <v>0.99699097291875627</v>
      </c>
      <c r="L125">
        <f>VLOOKUP(Table1[[#This Row],[Supplier ID]],Suppliers!$A$2:$D$6,4,FALSE)</f>
        <v>18</v>
      </c>
      <c r="M125">
        <f>Table1[[#This Row],[Actual Delivery]]-Table1[[#This Row],[Order Date]]-Table1[[#This Row],[std Lead time]]</f>
        <v>0</v>
      </c>
      <c r="N125">
        <f>IF(AND(Table1[[#This Row],[Status]] = "Delivered", Table1[[#This Row],[Actual Delivery]] &lt;= Table1[[#This Row],[Promised Delivery]],Table1[[#This Row],[FillRate]]&gt;=0.95),1,0)</f>
        <v>1</v>
      </c>
      <c r="O125" t="str">
        <f>VLOOKUP(B125,Products!$A$2:$D$9,3,FALSE)</f>
        <v>Raw Material</v>
      </c>
    </row>
    <row r="126" spans="1:15" x14ac:dyDescent="0.25">
      <c r="A126" s="14" t="s">
        <v>152</v>
      </c>
      <c r="B126" s="2" t="s">
        <v>37</v>
      </c>
      <c r="C126" s="2" t="s">
        <v>31</v>
      </c>
      <c r="D126" s="2" t="s">
        <v>23</v>
      </c>
      <c r="E126" s="3">
        <v>45531</v>
      </c>
      <c r="F126" s="20">
        <v>45536</v>
      </c>
      <c r="G126" s="20">
        <v>45547</v>
      </c>
      <c r="H126" s="2">
        <v>1728</v>
      </c>
      <c r="I126" s="2">
        <v>1705</v>
      </c>
      <c r="J126" s="4" t="s">
        <v>14</v>
      </c>
      <c r="K126">
        <f>Table1[[#This Row],[Delivered Qty]]/Table1[[#This Row],[Ordered Qty]]</f>
        <v>0.98668981481481477</v>
      </c>
      <c r="L126">
        <f>VLOOKUP(Table1[[#This Row],[Supplier ID]],Suppliers!$A$2:$D$6,4,FALSE)</f>
        <v>5</v>
      </c>
      <c r="M126">
        <f>Table1[[#This Row],[Actual Delivery]]-Table1[[#This Row],[Order Date]]-Table1[[#This Row],[std Lead time]]</f>
        <v>11</v>
      </c>
      <c r="N126">
        <f>IF(AND(Table1[[#This Row],[Status]] = "Delivered", Table1[[#This Row],[Actual Delivery]] &lt;= Table1[[#This Row],[Promised Delivery]],Table1[[#This Row],[FillRate]]&gt;=0.95),1,0)</f>
        <v>0</v>
      </c>
      <c r="O126" t="str">
        <f>VLOOKUP(B126,Products!$A$2:$D$9,3,FALSE)</f>
        <v>Raw Material</v>
      </c>
    </row>
    <row r="127" spans="1:15" x14ac:dyDescent="0.25">
      <c r="A127" s="15" t="s">
        <v>153</v>
      </c>
      <c r="B127" s="5" t="s">
        <v>16</v>
      </c>
      <c r="C127" s="5" t="s">
        <v>57</v>
      </c>
      <c r="D127" s="5" t="s">
        <v>28</v>
      </c>
      <c r="E127" s="6">
        <v>45509</v>
      </c>
      <c r="F127" s="21">
        <v>45530</v>
      </c>
      <c r="G127" s="21">
        <v>45536</v>
      </c>
      <c r="H127" s="5">
        <v>1581</v>
      </c>
      <c r="I127" s="5">
        <v>1574</v>
      </c>
      <c r="J127" s="4" t="s">
        <v>14</v>
      </c>
      <c r="K127">
        <f>Table1[[#This Row],[Delivered Qty]]/Table1[[#This Row],[Ordered Qty]]</f>
        <v>0.99557242251739408</v>
      </c>
      <c r="L127">
        <f>VLOOKUP(Table1[[#This Row],[Supplier ID]],Suppliers!$A$2:$D$6,4,FALSE)</f>
        <v>21</v>
      </c>
      <c r="M127">
        <f>Table1[[#This Row],[Actual Delivery]]-Table1[[#This Row],[Order Date]]-Table1[[#This Row],[std Lead time]]</f>
        <v>6</v>
      </c>
      <c r="N127">
        <f>IF(AND(Table1[[#This Row],[Status]] = "Delivered", Table1[[#This Row],[Actual Delivery]] &lt;= Table1[[#This Row],[Promised Delivery]],Table1[[#This Row],[FillRate]]&gt;=0.95),1,0)</f>
        <v>0</v>
      </c>
      <c r="O127" t="str">
        <f>VLOOKUP(B127,Products!$A$2:$D$9,3,FALSE)</f>
        <v>Packaging</v>
      </c>
    </row>
    <row r="128" spans="1:15" x14ac:dyDescent="0.25">
      <c r="A128" s="14" t="s">
        <v>154</v>
      </c>
      <c r="B128" s="2" t="s">
        <v>30</v>
      </c>
      <c r="C128" s="2" t="s">
        <v>26</v>
      </c>
      <c r="D128" s="2" t="s">
        <v>18</v>
      </c>
      <c r="E128" s="3">
        <v>45505</v>
      </c>
      <c r="F128" s="20">
        <v>45512</v>
      </c>
      <c r="G128" s="20">
        <v>45511</v>
      </c>
      <c r="H128" s="2">
        <v>954</v>
      </c>
      <c r="I128" s="2">
        <v>922</v>
      </c>
      <c r="J128" s="4" t="s">
        <v>14</v>
      </c>
      <c r="K128">
        <f>Table1[[#This Row],[Delivered Qty]]/Table1[[#This Row],[Ordered Qty]]</f>
        <v>0.96645702306079662</v>
      </c>
      <c r="L128">
        <f>VLOOKUP(Table1[[#This Row],[Supplier ID]],Suppliers!$A$2:$D$6,4,FALSE)</f>
        <v>7</v>
      </c>
      <c r="M128">
        <f>Table1[[#This Row],[Actual Delivery]]-Table1[[#This Row],[Order Date]]-Table1[[#This Row],[std Lead time]]</f>
        <v>-1</v>
      </c>
      <c r="N128">
        <f>IF(AND(Table1[[#This Row],[Status]] = "Delivered", Table1[[#This Row],[Actual Delivery]] &lt;= Table1[[#This Row],[Promised Delivery]],Table1[[#This Row],[FillRate]]&gt;=0.95),1,0)</f>
        <v>1</v>
      </c>
      <c r="O128" t="str">
        <f>VLOOKUP(B128,Products!$A$2:$D$9,3,FALSE)</f>
        <v>Finished Goods</v>
      </c>
    </row>
    <row r="129" spans="1:15" x14ac:dyDescent="0.25">
      <c r="A129" s="15" t="s">
        <v>155</v>
      </c>
      <c r="B129" s="5" t="s">
        <v>37</v>
      </c>
      <c r="C129" s="5" t="s">
        <v>17</v>
      </c>
      <c r="D129" s="5" t="s">
        <v>18</v>
      </c>
      <c r="E129" s="6">
        <v>45531</v>
      </c>
      <c r="F129" s="21">
        <v>45537</v>
      </c>
      <c r="G129" s="21">
        <v>45535</v>
      </c>
      <c r="H129" s="5">
        <v>1165</v>
      </c>
      <c r="I129" s="5">
        <v>1051</v>
      </c>
      <c r="J129" s="4" t="s">
        <v>14</v>
      </c>
      <c r="K129">
        <f>Table1[[#This Row],[Delivered Qty]]/Table1[[#This Row],[Ordered Qty]]</f>
        <v>0.90214592274678107</v>
      </c>
      <c r="L129">
        <f>VLOOKUP(Table1[[#This Row],[Supplier ID]],Suppliers!$A$2:$D$6,4,FALSE)</f>
        <v>6</v>
      </c>
      <c r="M129">
        <f>Table1[[#This Row],[Actual Delivery]]-Table1[[#This Row],[Order Date]]-Table1[[#This Row],[std Lead time]]</f>
        <v>-2</v>
      </c>
      <c r="N129">
        <f>IF(AND(Table1[[#This Row],[Status]] = "Delivered", Table1[[#This Row],[Actual Delivery]] &lt;= Table1[[#This Row],[Promised Delivery]],Table1[[#This Row],[FillRate]]&gt;=0.95),1,0)</f>
        <v>0</v>
      </c>
      <c r="O129" t="str">
        <f>VLOOKUP(B129,Products!$A$2:$D$9,3,FALSE)</f>
        <v>Raw Material</v>
      </c>
    </row>
    <row r="130" spans="1:15" x14ac:dyDescent="0.25">
      <c r="A130" s="14" t="s">
        <v>156</v>
      </c>
      <c r="B130" s="2" t="s">
        <v>30</v>
      </c>
      <c r="C130" s="2" t="s">
        <v>17</v>
      </c>
      <c r="D130" s="2" t="s">
        <v>13</v>
      </c>
      <c r="E130" s="3">
        <v>45525</v>
      </c>
      <c r="F130" s="20">
        <v>45531</v>
      </c>
      <c r="G130" s="20">
        <v>45530</v>
      </c>
      <c r="H130" s="2">
        <v>1635</v>
      </c>
      <c r="I130" s="2">
        <v>1520</v>
      </c>
      <c r="J130" s="4" t="s">
        <v>14</v>
      </c>
      <c r="K130">
        <f>Table1[[#This Row],[Delivered Qty]]/Table1[[#This Row],[Ordered Qty]]</f>
        <v>0.92966360856269115</v>
      </c>
      <c r="L130">
        <f>VLOOKUP(Table1[[#This Row],[Supplier ID]],Suppliers!$A$2:$D$6,4,FALSE)</f>
        <v>6</v>
      </c>
      <c r="M130">
        <f>Table1[[#This Row],[Actual Delivery]]-Table1[[#This Row],[Order Date]]-Table1[[#This Row],[std Lead time]]</f>
        <v>-1</v>
      </c>
      <c r="N130">
        <f>IF(AND(Table1[[#This Row],[Status]] = "Delivered", Table1[[#This Row],[Actual Delivery]] &lt;= Table1[[#This Row],[Promised Delivery]],Table1[[#This Row],[FillRate]]&gt;=0.95),1,0)</f>
        <v>0</v>
      </c>
      <c r="O130" t="str">
        <f>VLOOKUP(B130,Products!$A$2:$D$9,3,FALSE)</f>
        <v>Finished Goods</v>
      </c>
    </row>
    <row r="131" spans="1:15" x14ac:dyDescent="0.25">
      <c r="A131" s="15" t="s">
        <v>157</v>
      </c>
      <c r="B131" s="5" t="s">
        <v>22</v>
      </c>
      <c r="C131" s="5" t="s">
        <v>26</v>
      </c>
      <c r="D131" s="5" t="s">
        <v>13</v>
      </c>
      <c r="E131" s="6">
        <v>45506</v>
      </c>
      <c r="F131" s="21">
        <v>45513</v>
      </c>
      <c r="G131" s="21">
        <v>45512</v>
      </c>
      <c r="H131" s="5">
        <v>437</v>
      </c>
      <c r="I131" s="5">
        <v>397</v>
      </c>
      <c r="J131" s="4" t="s">
        <v>14</v>
      </c>
      <c r="K131">
        <f>Table1[[#This Row],[Delivered Qty]]/Table1[[#This Row],[Ordered Qty]]</f>
        <v>0.90846681922196793</v>
      </c>
      <c r="L131">
        <f>VLOOKUP(Table1[[#This Row],[Supplier ID]],Suppliers!$A$2:$D$6,4,FALSE)</f>
        <v>7</v>
      </c>
      <c r="M131">
        <f>Table1[[#This Row],[Actual Delivery]]-Table1[[#This Row],[Order Date]]-Table1[[#This Row],[std Lead time]]</f>
        <v>-1</v>
      </c>
      <c r="N131">
        <f>IF(AND(Table1[[#This Row],[Status]] = "Delivered", Table1[[#This Row],[Actual Delivery]] &lt;= Table1[[#This Row],[Promised Delivery]],Table1[[#This Row],[FillRate]]&gt;=0.95),1,0)</f>
        <v>0</v>
      </c>
      <c r="O131" t="str">
        <f>VLOOKUP(B131,Products!$A$2:$D$9,3,FALSE)</f>
        <v>Finished Goods</v>
      </c>
    </row>
    <row r="132" spans="1:15" x14ac:dyDescent="0.25">
      <c r="A132" s="14" t="s">
        <v>158</v>
      </c>
      <c r="B132" s="2" t="s">
        <v>33</v>
      </c>
      <c r="C132" s="2" t="s">
        <v>57</v>
      </c>
      <c r="D132" s="2" t="s">
        <v>18</v>
      </c>
      <c r="E132" s="3">
        <v>45516</v>
      </c>
      <c r="F132" s="20">
        <v>45537</v>
      </c>
      <c r="G132" s="20">
        <v>45537</v>
      </c>
      <c r="H132" s="2">
        <v>516</v>
      </c>
      <c r="I132" s="2">
        <v>510</v>
      </c>
      <c r="J132" s="4" t="s">
        <v>14</v>
      </c>
      <c r="K132">
        <f>Table1[[#This Row],[Delivered Qty]]/Table1[[#This Row],[Ordered Qty]]</f>
        <v>0.98837209302325579</v>
      </c>
      <c r="L132">
        <f>VLOOKUP(Table1[[#This Row],[Supplier ID]],Suppliers!$A$2:$D$6,4,FALSE)</f>
        <v>21</v>
      </c>
      <c r="M132">
        <f>Table1[[#This Row],[Actual Delivery]]-Table1[[#This Row],[Order Date]]-Table1[[#This Row],[std Lead time]]</f>
        <v>0</v>
      </c>
      <c r="N132">
        <f>IF(AND(Table1[[#This Row],[Status]] = "Delivered", Table1[[#This Row],[Actual Delivery]] &lt;= Table1[[#This Row],[Promised Delivery]],Table1[[#This Row],[FillRate]]&gt;=0.95),1,0)</f>
        <v>1</v>
      </c>
      <c r="O132" t="str">
        <f>VLOOKUP(B132,Products!$A$2:$D$9,3,FALSE)</f>
        <v>Raw Material</v>
      </c>
    </row>
    <row r="133" spans="1:15" x14ac:dyDescent="0.25">
      <c r="A133" s="15" t="s">
        <v>159</v>
      </c>
      <c r="B133" s="5" t="s">
        <v>16</v>
      </c>
      <c r="C133" s="5" t="s">
        <v>57</v>
      </c>
      <c r="D133" s="5" t="s">
        <v>18</v>
      </c>
      <c r="E133" s="6">
        <v>45513</v>
      </c>
      <c r="F133" s="21">
        <v>45534</v>
      </c>
      <c r="G133" s="21">
        <v>45532</v>
      </c>
      <c r="H133" s="5">
        <v>1108</v>
      </c>
      <c r="I133" s="5">
        <v>972</v>
      </c>
      <c r="J133" s="4" t="s">
        <v>14</v>
      </c>
      <c r="K133">
        <f>Table1[[#This Row],[Delivered Qty]]/Table1[[#This Row],[Ordered Qty]]</f>
        <v>0.87725631768953072</v>
      </c>
      <c r="L133">
        <f>VLOOKUP(Table1[[#This Row],[Supplier ID]],Suppliers!$A$2:$D$6,4,FALSE)</f>
        <v>21</v>
      </c>
      <c r="M133">
        <f>Table1[[#This Row],[Actual Delivery]]-Table1[[#This Row],[Order Date]]-Table1[[#This Row],[std Lead time]]</f>
        <v>-2</v>
      </c>
      <c r="N133">
        <f>IF(AND(Table1[[#This Row],[Status]] = "Delivered", Table1[[#This Row],[Actual Delivery]] &lt;= Table1[[#This Row],[Promised Delivery]],Table1[[#This Row],[FillRate]]&gt;=0.95),1,0)</f>
        <v>0</v>
      </c>
      <c r="O133" t="str">
        <f>VLOOKUP(B133,Products!$A$2:$D$9,3,FALSE)</f>
        <v>Packaging</v>
      </c>
    </row>
    <row r="134" spans="1:15" x14ac:dyDescent="0.25">
      <c r="A134" s="14" t="s">
        <v>160</v>
      </c>
      <c r="B134" s="2" t="s">
        <v>20</v>
      </c>
      <c r="C134" s="2" t="s">
        <v>12</v>
      </c>
      <c r="D134" s="2" t="s">
        <v>28</v>
      </c>
      <c r="E134" s="3">
        <v>45526</v>
      </c>
      <c r="F134" s="20">
        <v>45544</v>
      </c>
      <c r="G134" s="20">
        <v>45544</v>
      </c>
      <c r="H134" s="2">
        <v>934</v>
      </c>
      <c r="I134" s="2">
        <v>846</v>
      </c>
      <c r="J134" s="4" t="s">
        <v>14</v>
      </c>
      <c r="K134">
        <f>Table1[[#This Row],[Delivered Qty]]/Table1[[#This Row],[Ordered Qty]]</f>
        <v>0.90578158458244107</v>
      </c>
      <c r="L134">
        <f>VLOOKUP(Table1[[#This Row],[Supplier ID]],Suppliers!$A$2:$D$6,4,FALSE)</f>
        <v>18</v>
      </c>
      <c r="M134">
        <f>Table1[[#This Row],[Actual Delivery]]-Table1[[#This Row],[Order Date]]-Table1[[#This Row],[std Lead time]]</f>
        <v>0</v>
      </c>
      <c r="N134">
        <f>IF(AND(Table1[[#This Row],[Status]] = "Delivered", Table1[[#This Row],[Actual Delivery]] &lt;= Table1[[#This Row],[Promised Delivery]],Table1[[#This Row],[FillRate]]&gt;=0.95),1,0)</f>
        <v>0</v>
      </c>
      <c r="O134" t="str">
        <f>VLOOKUP(B134,Products!$A$2:$D$9,3,FALSE)</f>
        <v>Raw Material</v>
      </c>
    </row>
    <row r="135" spans="1:15" x14ac:dyDescent="0.25">
      <c r="A135" s="15" t="s">
        <v>161</v>
      </c>
      <c r="B135" s="5" t="s">
        <v>37</v>
      </c>
      <c r="C135" s="5" t="s">
        <v>31</v>
      </c>
      <c r="D135" s="5" t="s">
        <v>28</v>
      </c>
      <c r="E135" s="6">
        <v>45532</v>
      </c>
      <c r="F135" s="21">
        <v>45537</v>
      </c>
      <c r="G135" s="21">
        <v>45535</v>
      </c>
      <c r="H135" s="5">
        <v>1514</v>
      </c>
      <c r="I135" s="5">
        <v>1459</v>
      </c>
      <c r="J135" s="4" t="s">
        <v>14</v>
      </c>
      <c r="K135">
        <f>Table1[[#This Row],[Delivered Qty]]/Table1[[#This Row],[Ordered Qty]]</f>
        <v>0.96367239101717306</v>
      </c>
      <c r="L135">
        <f>VLOOKUP(Table1[[#This Row],[Supplier ID]],Suppliers!$A$2:$D$6,4,FALSE)</f>
        <v>5</v>
      </c>
      <c r="M135">
        <f>Table1[[#This Row],[Actual Delivery]]-Table1[[#This Row],[Order Date]]-Table1[[#This Row],[std Lead time]]</f>
        <v>-2</v>
      </c>
      <c r="N135">
        <f>IF(AND(Table1[[#This Row],[Status]] = "Delivered", Table1[[#This Row],[Actual Delivery]] &lt;= Table1[[#This Row],[Promised Delivery]],Table1[[#This Row],[FillRate]]&gt;=0.95),1,0)</f>
        <v>1</v>
      </c>
      <c r="O135" t="str">
        <f>VLOOKUP(B135,Products!$A$2:$D$9,3,FALSE)</f>
        <v>Raw Material</v>
      </c>
    </row>
    <row r="136" spans="1:15" x14ac:dyDescent="0.25">
      <c r="A136" s="14" t="s">
        <v>162</v>
      </c>
      <c r="B136" s="2" t="s">
        <v>11</v>
      </c>
      <c r="C136" s="2" t="s">
        <v>26</v>
      </c>
      <c r="D136" s="2" t="s">
        <v>23</v>
      </c>
      <c r="E136" s="3">
        <v>45512</v>
      </c>
      <c r="F136" s="20">
        <v>45519</v>
      </c>
      <c r="G136" s="20">
        <v>45521</v>
      </c>
      <c r="H136" s="2">
        <v>340</v>
      </c>
      <c r="I136" s="2">
        <v>327</v>
      </c>
      <c r="J136" s="4" t="s">
        <v>14</v>
      </c>
      <c r="K136">
        <f>Table1[[#This Row],[Delivered Qty]]/Table1[[#This Row],[Ordered Qty]]</f>
        <v>0.96176470588235297</v>
      </c>
      <c r="L136">
        <f>VLOOKUP(Table1[[#This Row],[Supplier ID]],Suppliers!$A$2:$D$6,4,FALSE)</f>
        <v>7</v>
      </c>
      <c r="M136">
        <f>Table1[[#This Row],[Actual Delivery]]-Table1[[#This Row],[Order Date]]-Table1[[#This Row],[std Lead time]]</f>
        <v>2</v>
      </c>
      <c r="N136">
        <f>IF(AND(Table1[[#This Row],[Status]] = "Delivered", Table1[[#This Row],[Actual Delivery]] &lt;= Table1[[#This Row],[Promised Delivery]],Table1[[#This Row],[FillRate]]&gt;=0.95),1,0)</f>
        <v>0</v>
      </c>
      <c r="O136" t="str">
        <f>VLOOKUP(B136,Products!$A$2:$D$9,3,FALSE)</f>
        <v>Packaging</v>
      </c>
    </row>
    <row r="137" spans="1:15" x14ac:dyDescent="0.25">
      <c r="A137" s="15" t="s">
        <v>163</v>
      </c>
      <c r="B137" s="5" t="s">
        <v>20</v>
      </c>
      <c r="C137" s="5" t="s">
        <v>17</v>
      </c>
      <c r="D137" s="5" t="s">
        <v>13</v>
      </c>
      <c r="E137" s="6">
        <v>45531</v>
      </c>
      <c r="F137" s="21">
        <v>45537</v>
      </c>
      <c r="G137" s="21">
        <v>45535</v>
      </c>
      <c r="H137" s="5">
        <v>1815</v>
      </c>
      <c r="I137" s="5">
        <v>1796</v>
      </c>
      <c r="J137" s="4" t="s">
        <v>14</v>
      </c>
      <c r="K137">
        <f>Table1[[#This Row],[Delivered Qty]]/Table1[[#This Row],[Ordered Qty]]</f>
        <v>0.98953168044077133</v>
      </c>
      <c r="L137">
        <f>VLOOKUP(Table1[[#This Row],[Supplier ID]],Suppliers!$A$2:$D$6,4,FALSE)</f>
        <v>6</v>
      </c>
      <c r="M137">
        <f>Table1[[#This Row],[Actual Delivery]]-Table1[[#This Row],[Order Date]]-Table1[[#This Row],[std Lead time]]</f>
        <v>-2</v>
      </c>
      <c r="N137">
        <f>IF(AND(Table1[[#This Row],[Status]] = "Delivered", Table1[[#This Row],[Actual Delivery]] &lt;= Table1[[#This Row],[Promised Delivery]],Table1[[#This Row],[FillRate]]&gt;=0.95),1,0)</f>
        <v>1</v>
      </c>
      <c r="O137" t="str">
        <f>VLOOKUP(B137,Products!$A$2:$D$9,3,FALSE)</f>
        <v>Raw Material</v>
      </c>
    </row>
    <row r="138" spans="1:15" x14ac:dyDescent="0.25">
      <c r="A138" s="14" t="s">
        <v>164</v>
      </c>
      <c r="B138" s="2" t="s">
        <v>11</v>
      </c>
      <c r="C138" s="2" t="s">
        <v>12</v>
      </c>
      <c r="D138" s="2" t="s">
        <v>13</v>
      </c>
      <c r="E138" s="3">
        <v>45509</v>
      </c>
      <c r="F138" s="20">
        <v>45527</v>
      </c>
      <c r="G138" s="20">
        <v>45528</v>
      </c>
      <c r="H138" s="2">
        <v>1553</v>
      </c>
      <c r="I138" s="2">
        <v>1507</v>
      </c>
      <c r="J138" s="4" t="s">
        <v>14</v>
      </c>
      <c r="K138">
        <f>Table1[[#This Row],[Delivered Qty]]/Table1[[#This Row],[Ordered Qty]]</f>
        <v>0.97037990985189959</v>
      </c>
      <c r="L138">
        <f>VLOOKUP(Table1[[#This Row],[Supplier ID]],Suppliers!$A$2:$D$6,4,FALSE)</f>
        <v>18</v>
      </c>
      <c r="M138">
        <f>Table1[[#This Row],[Actual Delivery]]-Table1[[#This Row],[Order Date]]-Table1[[#This Row],[std Lead time]]</f>
        <v>1</v>
      </c>
      <c r="N138">
        <f>IF(AND(Table1[[#This Row],[Status]] = "Delivered", Table1[[#This Row],[Actual Delivery]] &lt;= Table1[[#This Row],[Promised Delivery]],Table1[[#This Row],[FillRate]]&gt;=0.95),1,0)</f>
        <v>0</v>
      </c>
      <c r="O138" t="str">
        <f>VLOOKUP(B138,Products!$A$2:$D$9,3,FALSE)</f>
        <v>Packaging</v>
      </c>
    </row>
    <row r="139" spans="1:15" x14ac:dyDescent="0.25">
      <c r="A139" s="15" t="s">
        <v>165</v>
      </c>
      <c r="B139" s="5" t="s">
        <v>33</v>
      </c>
      <c r="C139" s="5" t="s">
        <v>26</v>
      </c>
      <c r="D139" s="5" t="s">
        <v>23</v>
      </c>
      <c r="E139" s="6">
        <v>45530</v>
      </c>
      <c r="F139" s="21">
        <v>45537</v>
      </c>
      <c r="G139" s="21">
        <v>45535</v>
      </c>
      <c r="H139" s="5">
        <v>556</v>
      </c>
      <c r="I139" s="5">
        <v>515</v>
      </c>
      <c r="J139" s="4" t="s">
        <v>14</v>
      </c>
      <c r="K139">
        <f>Table1[[#This Row],[Delivered Qty]]/Table1[[#This Row],[Ordered Qty]]</f>
        <v>0.92625899280575541</v>
      </c>
      <c r="L139">
        <f>VLOOKUP(Table1[[#This Row],[Supplier ID]],Suppliers!$A$2:$D$6,4,FALSE)</f>
        <v>7</v>
      </c>
      <c r="M139">
        <f>Table1[[#This Row],[Actual Delivery]]-Table1[[#This Row],[Order Date]]-Table1[[#This Row],[std Lead time]]</f>
        <v>-2</v>
      </c>
      <c r="N139">
        <f>IF(AND(Table1[[#This Row],[Status]] = "Delivered", Table1[[#This Row],[Actual Delivery]] &lt;= Table1[[#This Row],[Promised Delivery]],Table1[[#This Row],[FillRate]]&gt;=0.95),1,0)</f>
        <v>0</v>
      </c>
      <c r="O139" t="str">
        <f>VLOOKUP(B139,Products!$A$2:$D$9,3,FALSE)</f>
        <v>Raw Material</v>
      </c>
    </row>
    <row r="140" spans="1:15" x14ac:dyDescent="0.25">
      <c r="A140" s="14" t="s">
        <v>166</v>
      </c>
      <c r="B140" s="2" t="s">
        <v>33</v>
      </c>
      <c r="C140" s="2" t="s">
        <v>57</v>
      </c>
      <c r="D140" s="2" t="s">
        <v>28</v>
      </c>
      <c r="E140" s="3">
        <v>45528</v>
      </c>
      <c r="F140" s="20">
        <v>45549</v>
      </c>
      <c r="G140" s="20">
        <v>45548</v>
      </c>
      <c r="H140" s="2">
        <v>1251</v>
      </c>
      <c r="I140" s="2">
        <v>1200</v>
      </c>
      <c r="J140" s="4" t="s">
        <v>14</v>
      </c>
      <c r="K140">
        <f>Table1[[#This Row],[Delivered Qty]]/Table1[[#This Row],[Ordered Qty]]</f>
        <v>0.95923261390887293</v>
      </c>
      <c r="L140">
        <f>VLOOKUP(Table1[[#This Row],[Supplier ID]],Suppliers!$A$2:$D$6,4,FALSE)</f>
        <v>21</v>
      </c>
      <c r="M140">
        <f>Table1[[#This Row],[Actual Delivery]]-Table1[[#This Row],[Order Date]]-Table1[[#This Row],[std Lead time]]</f>
        <v>-1</v>
      </c>
      <c r="N140">
        <f>IF(AND(Table1[[#This Row],[Status]] = "Delivered", Table1[[#This Row],[Actual Delivery]] &lt;= Table1[[#This Row],[Promised Delivery]],Table1[[#This Row],[FillRate]]&gt;=0.95),1,0)</f>
        <v>1</v>
      </c>
      <c r="O140" t="str">
        <f>VLOOKUP(B140,Products!$A$2:$D$9,3,FALSE)</f>
        <v>Raw Material</v>
      </c>
    </row>
    <row r="141" spans="1:15" x14ac:dyDescent="0.25">
      <c r="A141" s="15" t="s">
        <v>167</v>
      </c>
      <c r="B141" s="5" t="s">
        <v>44</v>
      </c>
      <c r="C141" s="5" t="s">
        <v>17</v>
      </c>
      <c r="D141" s="5" t="s">
        <v>13</v>
      </c>
      <c r="E141" s="6">
        <v>45524</v>
      </c>
      <c r="F141" s="21">
        <v>45530</v>
      </c>
      <c r="G141" s="21">
        <v>45536</v>
      </c>
      <c r="H141" s="5">
        <v>1267</v>
      </c>
      <c r="I141" s="5">
        <v>1178</v>
      </c>
      <c r="J141" s="4" t="s">
        <v>14</v>
      </c>
      <c r="K141">
        <f>Table1[[#This Row],[Delivered Qty]]/Table1[[#This Row],[Ordered Qty]]</f>
        <v>0.92975532754538281</v>
      </c>
      <c r="L141">
        <f>VLOOKUP(Table1[[#This Row],[Supplier ID]],Suppliers!$A$2:$D$6,4,FALSE)</f>
        <v>6</v>
      </c>
      <c r="M141">
        <f>Table1[[#This Row],[Actual Delivery]]-Table1[[#This Row],[Order Date]]-Table1[[#This Row],[std Lead time]]</f>
        <v>6</v>
      </c>
      <c r="N141">
        <f>IF(AND(Table1[[#This Row],[Status]] = "Delivered", Table1[[#This Row],[Actual Delivery]] &lt;= Table1[[#This Row],[Promised Delivery]],Table1[[#This Row],[FillRate]]&gt;=0.95),1,0)</f>
        <v>0</v>
      </c>
      <c r="O141" t="str">
        <f>VLOOKUP(B141,Products!$A$2:$D$9,3,FALSE)</f>
        <v>Finished Goods</v>
      </c>
    </row>
    <row r="142" spans="1:15" x14ac:dyDescent="0.25">
      <c r="A142" s="14" t="s">
        <v>168</v>
      </c>
      <c r="B142" s="2" t="s">
        <v>11</v>
      </c>
      <c r="C142" s="2" t="s">
        <v>26</v>
      </c>
      <c r="D142" s="2" t="s">
        <v>18</v>
      </c>
      <c r="E142" s="3">
        <v>45532</v>
      </c>
      <c r="F142" s="20">
        <v>45539</v>
      </c>
      <c r="G142" s="20">
        <v>45537</v>
      </c>
      <c r="H142" s="2">
        <v>1204</v>
      </c>
      <c r="I142" s="2">
        <v>1127</v>
      </c>
      <c r="J142" s="4" t="s">
        <v>14</v>
      </c>
      <c r="K142">
        <f>Table1[[#This Row],[Delivered Qty]]/Table1[[#This Row],[Ordered Qty]]</f>
        <v>0.93604651162790697</v>
      </c>
      <c r="L142">
        <f>VLOOKUP(Table1[[#This Row],[Supplier ID]],Suppliers!$A$2:$D$6,4,FALSE)</f>
        <v>7</v>
      </c>
      <c r="M142">
        <f>Table1[[#This Row],[Actual Delivery]]-Table1[[#This Row],[Order Date]]-Table1[[#This Row],[std Lead time]]</f>
        <v>-2</v>
      </c>
      <c r="N142">
        <f>IF(AND(Table1[[#This Row],[Status]] = "Delivered", Table1[[#This Row],[Actual Delivery]] &lt;= Table1[[#This Row],[Promised Delivery]],Table1[[#This Row],[FillRate]]&gt;=0.95),1,0)</f>
        <v>0</v>
      </c>
      <c r="O142" t="str">
        <f>VLOOKUP(B142,Products!$A$2:$D$9,3,FALSE)</f>
        <v>Packaging</v>
      </c>
    </row>
    <row r="143" spans="1:15" x14ac:dyDescent="0.25">
      <c r="A143" s="15" t="s">
        <v>169</v>
      </c>
      <c r="B143" s="5" t="s">
        <v>44</v>
      </c>
      <c r="C143" s="5" t="s">
        <v>26</v>
      </c>
      <c r="D143" s="5" t="s">
        <v>28</v>
      </c>
      <c r="E143" s="6">
        <v>45515</v>
      </c>
      <c r="F143" s="21">
        <v>45522</v>
      </c>
      <c r="G143" s="21">
        <v>45521</v>
      </c>
      <c r="H143" s="5">
        <v>1478</v>
      </c>
      <c r="I143" s="5">
        <v>1423</v>
      </c>
      <c r="J143" s="4" t="s">
        <v>14</v>
      </c>
      <c r="K143">
        <f>Table1[[#This Row],[Delivered Qty]]/Table1[[#This Row],[Ordered Qty]]</f>
        <v>0.96278755074424893</v>
      </c>
      <c r="L143">
        <f>VLOOKUP(Table1[[#This Row],[Supplier ID]],Suppliers!$A$2:$D$6,4,FALSE)</f>
        <v>7</v>
      </c>
      <c r="M143">
        <f>Table1[[#This Row],[Actual Delivery]]-Table1[[#This Row],[Order Date]]-Table1[[#This Row],[std Lead time]]</f>
        <v>-1</v>
      </c>
      <c r="N143">
        <f>IF(AND(Table1[[#This Row],[Status]] = "Delivered", Table1[[#This Row],[Actual Delivery]] &lt;= Table1[[#This Row],[Promised Delivery]],Table1[[#This Row],[FillRate]]&gt;=0.95),1,0)</f>
        <v>1</v>
      </c>
      <c r="O143" t="str">
        <f>VLOOKUP(B143,Products!$A$2:$D$9,3,FALSE)</f>
        <v>Finished Goods</v>
      </c>
    </row>
    <row r="144" spans="1:15" x14ac:dyDescent="0.25">
      <c r="A144" s="14" t="s">
        <v>170</v>
      </c>
      <c r="B144" s="2" t="s">
        <v>30</v>
      </c>
      <c r="C144" s="2" t="s">
        <v>57</v>
      </c>
      <c r="D144" s="2" t="s">
        <v>23</v>
      </c>
      <c r="E144" s="3">
        <v>45519</v>
      </c>
      <c r="F144" s="20">
        <v>45540</v>
      </c>
      <c r="G144" s="20">
        <v>45540</v>
      </c>
      <c r="H144" s="2">
        <v>434</v>
      </c>
      <c r="I144" s="2">
        <v>427</v>
      </c>
      <c r="J144" s="4" t="s">
        <v>14</v>
      </c>
      <c r="K144">
        <f>Table1[[#This Row],[Delivered Qty]]/Table1[[#This Row],[Ordered Qty]]</f>
        <v>0.9838709677419355</v>
      </c>
      <c r="L144">
        <f>VLOOKUP(Table1[[#This Row],[Supplier ID]],Suppliers!$A$2:$D$6,4,FALSE)</f>
        <v>21</v>
      </c>
      <c r="M144">
        <f>Table1[[#This Row],[Actual Delivery]]-Table1[[#This Row],[Order Date]]-Table1[[#This Row],[std Lead time]]</f>
        <v>0</v>
      </c>
      <c r="N144">
        <f>IF(AND(Table1[[#This Row],[Status]] = "Delivered", Table1[[#This Row],[Actual Delivery]] &lt;= Table1[[#This Row],[Promised Delivery]],Table1[[#This Row],[FillRate]]&gt;=0.95),1,0)</f>
        <v>1</v>
      </c>
      <c r="O144" t="str">
        <f>VLOOKUP(B144,Products!$A$2:$D$9,3,FALSE)</f>
        <v>Finished Goods</v>
      </c>
    </row>
    <row r="145" spans="1:15" x14ac:dyDescent="0.25">
      <c r="A145" s="15" t="s">
        <v>171</v>
      </c>
      <c r="B145" s="5" t="s">
        <v>20</v>
      </c>
      <c r="C145" s="5" t="s">
        <v>57</v>
      </c>
      <c r="D145" s="5" t="s">
        <v>18</v>
      </c>
      <c r="E145" s="6">
        <v>45512</v>
      </c>
      <c r="F145" s="21">
        <v>45533</v>
      </c>
      <c r="G145" s="21">
        <v>45532</v>
      </c>
      <c r="H145" s="5">
        <v>1016</v>
      </c>
      <c r="I145" s="5">
        <v>956</v>
      </c>
      <c r="J145" s="4" t="s">
        <v>14</v>
      </c>
      <c r="K145">
        <f>Table1[[#This Row],[Delivered Qty]]/Table1[[#This Row],[Ordered Qty]]</f>
        <v>0.94094488188976377</v>
      </c>
      <c r="L145">
        <f>VLOOKUP(Table1[[#This Row],[Supplier ID]],Suppliers!$A$2:$D$6,4,FALSE)</f>
        <v>21</v>
      </c>
      <c r="M145">
        <f>Table1[[#This Row],[Actual Delivery]]-Table1[[#This Row],[Order Date]]-Table1[[#This Row],[std Lead time]]</f>
        <v>-1</v>
      </c>
      <c r="N145">
        <f>IF(AND(Table1[[#This Row],[Status]] = "Delivered", Table1[[#This Row],[Actual Delivery]] &lt;= Table1[[#This Row],[Promised Delivery]],Table1[[#This Row],[FillRate]]&gt;=0.95),1,0)</f>
        <v>0</v>
      </c>
      <c r="O145" t="str">
        <f>VLOOKUP(B145,Products!$A$2:$D$9,3,FALSE)</f>
        <v>Raw Material</v>
      </c>
    </row>
    <row r="146" spans="1:15" x14ac:dyDescent="0.25">
      <c r="A146" s="14" t="s">
        <v>172</v>
      </c>
      <c r="B146" s="2" t="s">
        <v>16</v>
      </c>
      <c r="C146" s="2" t="s">
        <v>12</v>
      </c>
      <c r="D146" s="2" t="s">
        <v>18</v>
      </c>
      <c r="E146" s="3">
        <v>45515</v>
      </c>
      <c r="F146" s="20">
        <v>45533</v>
      </c>
      <c r="G146" s="20">
        <v>45531</v>
      </c>
      <c r="H146" s="2">
        <v>1606</v>
      </c>
      <c r="I146" s="2">
        <v>1578</v>
      </c>
      <c r="J146" s="4" t="s">
        <v>14</v>
      </c>
      <c r="K146">
        <f>Table1[[#This Row],[Delivered Qty]]/Table1[[#This Row],[Ordered Qty]]</f>
        <v>0.98256537982565384</v>
      </c>
      <c r="L146">
        <f>VLOOKUP(Table1[[#This Row],[Supplier ID]],Suppliers!$A$2:$D$6,4,FALSE)</f>
        <v>18</v>
      </c>
      <c r="M146">
        <f>Table1[[#This Row],[Actual Delivery]]-Table1[[#This Row],[Order Date]]-Table1[[#This Row],[std Lead time]]</f>
        <v>-2</v>
      </c>
      <c r="N146">
        <f>IF(AND(Table1[[#This Row],[Status]] = "Delivered", Table1[[#This Row],[Actual Delivery]] &lt;= Table1[[#This Row],[Promised Delivery]],Table1[[#This Row],[FillRate]]&gt;=0.95),1,0)</f>
        <v>1</v>
      </c>
      <c r="O146" t="str">
        <f>VLOOKUP(B146,Products!$A$2:$D$9,3,FALSE)</f>
        <v>Packaging</v>
      </c>
    </row>
    <row r="147" spans="1:15" x14ac:dyDescent="0.25">
      <c r="A147" s="15" t="s">
        <v>173</v>
      </c>
      <c r="B147" s="5" t="s">
        <v>16</v>
      </c>
      <c r="C147" s="5" t="s">
        <v>26</v>
      </c>
      <c r="D147" s="5" t="s">
        <v>28</v>
      </c>
      <c r="E147" s="6">
        <v>45507</v>
      </c>
      <c r="F147" s="21">
        <v>45514</v>
      </c>
      <c r="G147" s="21">
        <v>45514</v>
      </c>
      <c r="H147" s="5">
        <v>963</v>
      </c>
      <c r="I147" s="5">
        <v>923</v>
      </c>
      <c r="J147" s="4" t="s">
        <v>14</v>
      </c>
      <c r="K147">
        <f>Table1[[#This Row],[Delivered Qty]]/Table1[[#This Row],[Ordered Qty]]</f>
        <v>0.95846313603322952</v>
      </c>
      <c r="L147">
        <f>VLOOKUP(Table1[[#This Row],[Supplier ID]],Suppliers!$A$2:$D$6,4,FALSE)</f>
        <v>7</v>
      </c>
      <c r="M147">
        <f>Table1[[#This Row],[Actual Delivery]]-Table1[[#This Row],[Order Date]]-Table1[[#This Row],[std Lead time]]</f>
        <v>0</v>
      </c>
      <c r="N147">
        <f>IF(AND(Table1[[#This Row],[Status]] = "Delivered", Table1[[#This Row],[Actual Delivery]] &lt;= Table1[[#This Row],[Promised Delivery]],Table1[[#This Row],[FillRate]]&gt;=0.95),1,0)</f>
        <v>1</v>
      </c>
      <c r="O147" t="str">
        <f>VLOOKUP(B147,Products!$A$2:$D$9,3,FALSE)</f>
        <v>Packaging</v>
      </c>
    </row>
    <row r="148" spans="1:15" x14ac:dyDescent="0.25">
      <c r="A148" s="14" t="s">
        <v>174</v>
      </c>
      <c r="B148" s="2" t="s">
        <v>11</v>
      </c>
      <c r="C148" s="2" t="s">
        <v>17</v>
      </c>
      <c r="D148" s="2" t="s">
        <v>23</v>
      </c>
      <c r="E148" s="3">
        <v>45526</v>
      </c>
      <c r="F148" s="20">
        <v>45532</v>
      </c>
      <c r="G148" s="20">
        <v>45532</v>
      </c>
      <c r="H148" s="2">
        <v>1736</v>
      </c>
      <c r="I148" s="2">
        <v>1515</v>
      </c>
      <c r="J148" s="4" t="s">
        <v>14</v>
      </c>
      <c r="K148">
        <f>Table1[[#This Row],[Delivered Qty]]/Table1[[#This Row],[Ordered Qty]]</f>
        <v>0.87269585253456217</v>
      </c>
      <c r="L148">
        <f>VLOOKUP(Table1[[#This Row],[Supplier ID]],Suppliers!$A$2:$D$6,4,FALSE)</f>
        <v>6</v>
      </c>
      <c r="M148">
        <f>Table1[[#This Row],[Actual Delivery]]-Table1[[#This Row],[Order Date]]-Table1[[#This Row],[std Lead time]]</f>
        <v>0</v>
      </c>
      <c r="N148">
        <f>IF(AND(Table1[[#This Row],[Status]] = "Delivered", Table1[[#This Row],[Actual Delivery]] &lt;= Table1[[#This Row],[Promised Delivery]],Table1[[#This Row],[FillRate]]&gt;=0.95),1,0)</f>
        <v>0</v>
      </c>
      <c r="O148" t="str">
        <f>VLOOKUP(B148,Products!$A$2:$D$9,3,FALSE)</f>
        <v>Packaging</v>
      </c>
    </row>
    <row r="149" spans="1:15" x14ac:dyDescent="0.25">
      <c r="A149" s="15" t="s">
        <v>175</v>
      </c>
      <c r="B149" s="5" t="s">
        <v>11</v>
      </c>
      <c r="C149" s="5" t="s">
        <v>12</v>
      </c>
      <c r="D149" s="5" t="s">
        <v>23</v>
      </c>
      <c r="E149" s="6">
        <v>45516</v>
      </c>
      <c r="F149" s="21">
        <v>45534</v>
      </c>
      <c r="G149" s="21">
        <v>45532</v>
      </c>
      <c r="H149" s="5">
        <v>516</v>
      </c>
      <c r="I149" s="5">
        <v>477</v>
      </c>
      <c r="J149" s="4" t="s">
        <v>14</v>
      </c>
      <c r="K149">
        <f>Table1[[#This Row],[Delivered Qty]]/Table1[[#This Row],[Ordered Qty]]</f>
        <v>0.92441860465116277</v>
      </c>
      <c r="L149">
        <f>VLOOKUP(Table1[[#This Row],[Supplier ID]],Suppliers!$A$2:$D$6,4,FALSE)</f>
        <v>18</v>
      </c>
      <c r="M149">
        <f>Table1[[#This Row],[Actual Delivery]]-Table1[[#This Row],[Order Date]]-Table1[[#This Row],[std Lead time]]</f>
        <v>-2</v>
      </c>
      <c r="N149">
        <f>IF(AND(Table1[[#This Row],[Status]] = "Delivered", Table1[[#This Row],[Actual Delivery]] &lt;= Table1[[#This Row],[Promised Delivery]],Table1[[#This Row],[FillRate]]&gt;=0.95),1,0)</f>
        <v>0</v>
      </c>
      <c r="O149" t="str">
        <f>VLOOKUP(B149,Products!$A$2:$D$9,3,FALSE)</f>
        <v>Packaging</v>
      </c>
    </row>
    <row r="150" spans="1:15" x14ac:dyDescent="0.25">
      <c r="A150" s="14" t="s">
        <v>176</v>
      </c>
      <c r="B150" s="2" t="s">
        <v>20</v>
      </c>
      <c r="C150" s="2" t="s">
        <v>26</v>
      </c>
      <c r="D150" s="2" t="s">
        <v>23</v>
      </c>
      <c r="E150" s="3">
        <v>45532</v>
      </c>
      <c r="F150" s="20">
        <v>45539</v>
      </c>
      <c r="G150" s="20">
        <v>45538</v>
      </c>
      <c r="H150" s="2">
        <v>1375</v>
      </c>
      <c r="I150" s="2">
        <v>1268</v>
      </c>
      <c r="J150" s="4" t="s">
        <v>14</v>
      </c>
      <c r="K150">
        <f>Table1[[#This Row],[Delivered Qty]]/Table1[[#This Row],[Ordered Qty]]</f>
        <v>0.92218181818181821</v>
      </c>
      <c r="L150">
        <f>VLOOKUP(Table1[[#This Row],[Supplier ID]],Suppliers!$A$2:$D$6,4,FALSE)</f>
        <v>7</v>
      </c>
      <c r="M150">
        <f>Table1[[#This Row],[Actual Delivery]]-Table1[[#This Row],[Order Date]]-Table1[[#This Row],[std Lead time]]</f>
        <v>-1</v>
      </c>
      <c r="N150">
        <f>IF(AND(Table1[[#This Row],[Status]] = "Delivered", Table1[[#This Row],[Actual Delivery]] &lt;= Table1[[#This Row],[Promised Delivery]],Table1[[#This Row],[FillRate]]&gt;=0.95),1,0)</f>
        <v>0</v>
      </c>
      <c r="O150" t="str">
        <f>VLOOKUP(B150,Products!$A$2:$D$9,3,FALSE)</f>
        <v>Raw Material</v>
      </c>
    </row>
    <row r="151" spans="1:15" x14ac:dyDescent="0.25">
      <c r="A151" s="15" t="s">
        <v>177</v>
      </c>
      <c r="B151" s="5" t="s">
        <v>22</v>
      </c>
      <c r="C151" s="5" t="s">
        <v>17</v>
      </c>
      <c r="D151" s="5" t="s">
        <v>28</v>
      </c>
      <c r="E151" s="6">
        <v>45524</v>
      </c>
      <c r="F151" s="21">
        <v>45530</v>
      </c>
      <c r="G151" s="21">
        <v>45529</v>
      </c>
      <c r="H151" s="5">
        <v>1639</v>
      </c>
      <c r="I151" s="5">
        <v>1600</v>
      </c>
      <c r="J151" s="4" t="s">
        <v>14</v>
      </c>
      <c r="K151">
        <f>Table1[[#This Row],[Delivered Qty]]/Table1[[#This Row],[Ordered Qty]]</f>
        <v>0.97620500305064062</v>
      </c>
      <c r="L151">
        <f>VLOOKUP(Table1[[#This Row],[Supplier ID]],Suppliers!$A$2:$D$6,4,FALSE)</f>
        <v>6</v>
      </c>
      <c r="M151">
        <f>Table1[[#This Row],[Actual Delivery]]-Table1[[#This Row],[Order Date]]-Table1[[#This Row],[std Lead time]]</f>
        <v>-1</v>
      </c>
      <c r="N151">
        <f>IF(AND(Table1[[#This Row],[Status]] = "Delivered", Table1[[#This Row],[Actual Delivery]] &lt;= Table1[[#This Row],[Promised Delivery]],Table1[[#This Row],[FillRate]]&gt;=0.95),1,0)</f>
        <v>1</v>
      </c>
      <c r="O151" t="str">
        <f>VLOOKUP(B151,Products!$A$2:$D$9,3,FALSE)</f>
        <v>Finished Goods</v>
      </c>
    </row>
    <row r="152" spans="1:15" x14ac:dyDescent="0.25">
      <c r="A152" s="14" t="s">
        <v>178</v>
      </c>
      <c r="B152" s="2" t="s">
        <v>30</v>
      </c>
      <c r="C152" s="2" t="s">
        <v>12</v>
      </c>
      <c r="D152" s="2" t="s">
        <v>28</v>
      </c>
      <c r="E152" s="3">
        <v>45510</v>
      </c>
      <c r="F152" s="20">
        <v>45528</v>
      </c>
      <c r="G152" s="20">
        <v>45527</v>
      </c>
      <c r="H152" s="2">
        <v>342</v>
      </c>
      <c r="I152" s="2">
        <v>312</v>
      </c>
      <c r="J152" s="4" t="s">
        <v>14</v>
      </c>
      <c r="K152">
        <f>Table1[[#This Row],[Delivered Qty]]/Table1[[#This Row],[Ordered Qty]]</f>
        <v>0.91228070175438591</v>
      </c>
      <c r="L152">
        <f>VLOOKUP(Table1[[#This Row],[Supplier ID]],Suppliers!$A$2:$D$6,4,FALSE)</f>
        <v>18</v>
      </c>
      <c r="M152">
        <f>Table1[[#This Row],[Actual Delivery]]-Table1[[#This Row],[Order Date]]-Table1[[#This Row],[std Lead time]]</f>
        <v>-1</v>
      </c>
      <c r="N152">
        <f>IF(AND(Table1[[#This Row],[Status]] = "Delivered", Table1[[#This Row],[Actual Delivery]] &lt;= Table1[[#This Row],[Promised Delivery]],Table1[[#This Row],[FillRate]]&gt;=0.95),1,0)</f>
        <v>0</v>
      </c>
      <c r="O152" t="str">
        <f>VLOOKUP(B152,Products!$A$2:$D$9,3,FALSE)</f>
        <v>Finished Goods</v>
      </c>
    </row>
    <row r="153" spans="1:15" x14ac:dyDescent="0.25">
      <c r="A153" s="15" t="s">
        <v>179</v>
      </c>
      <c r="B153" s="5" t="s">
        <v>11</v>
      </c>
      <c r="C153" s="5" t="s">
        <v>26</v>
      </c>
      <c r="D153" s="5" t="s">
        <v>13</v>
      </c>
      <c r="E153" s="6">
        <v>45517</v>
      </c>
      <c r="F153" s="21">
        <v>45524</v>
      </c>
      <c r="G153" s="21">
        <v>45522</v>
      </c>
      <c r="H153" s="5">
        <v>957</v>
      </c>
      <c r="I153" s="5">
        <v>812</v>
      </c>
      <c r="J153" s="4" t="s">
        <v>14</v>
      </c>
      <c r="K153">
        <f>Table1[[#This Row],[Delivered Qty]]/Table1[[#This Row],[Ordered Qty]]</f>
        <v>0.84848484848484851</v>
      </c>
      <c r="L153">
        <f>VLOOKUP(Table1[[#This Row],[Supplier ID]],Suppliers!$A$2:$D$6,4,FALSE)</f>
        <v>7</v>
      </c>
      <c r="M153">
        <f>Table1[[#This Row],[Actual Delivery]]-Table1[[#This Row],[Order Date]]-Table1[[#This Row],[std Lead time]]</f>
        <v>-2</v>
      </c>
      <c r="N153">
        <f>IF(AND(Table1[[#This Row],[Status]] = "Delivered", Table1[[#This Row],[Actual Delivery]] &lt;= Table1[[#This Row],[Promised Delivery]],Table1[[#This Row],[FillRate]]&gt;=0.95),1,0)</f>
        <v>0</v>
      </c>
      <c r="O153" t="str">
        <f>VLOOKUP(B153,Products!$A$2:$D$9,3,FALSE)</f>
        <v>Packaging</v>
      </c>
    </row>
    <row r="154" spans="1:15" x14ac:dyDescent="0.25">
      <c r="A154" s="14" t="s">
        <v>180</v>
      </c>
      <c r="B154" s="2" t="s">
        <v>30</v>
      </c>
      <c r="C154" s="2" t="s">
        <v>17</v>
      </c>
      <c r="D154" s="2" t="s">
        <v>28</v>
      </c>
      <c r="E154" s="3">
        <v>45506</v>
      </c>
      <c r="F154" s="20">
        <v>45512</v>
      </c>
      <c r="G154" s="20">
        <v>45512</v>
      </c>
      <c r="H154" s="2">
        <v>301</v>
      </c>
      <c r="I154" s="2">
        <v>291</v>
      </c>
      <c r="J154" s="4" t="s">
        <v>14</v>
      </c>
      <c r="K154">
        <f>Table1[[#This Row],[Delivered Qty]]/Table1[[#This Row],[Ordered Qty]]</f>
        <v>0.96677740863787376</v>
      </c>
      <c r="L154">
        <f>VLOOKUP(Table1[[#This Row],[Supplier ID]],Suppliers!$A$2:$D$6,4,FALSE)</f>
        <v>6</v>
      </c>
      <c r="M154">
        <f>Table1[[#This Row],[Actual Delivery]]-Table1[[#This Row],[Order Date]]-Table1[[#This Row],[std Lead time]]</f>
        <v>0</v>
      </c>
      <c r="N154">
        <f>IF(AND(Table1[[#This Row],[Status]] = "Delivered", Table1[[#This Row],[Actual Delivery]] &lt;= Table1[[#This Row],[Promised Delivery]],Table1[[#This Row],[FillRate]]&gt;=0.95),1,0)</f>
        <v>1</v>
      </c>
      <c r="O154" t="str">
        <f>VLOOKUP(B154,Products!$A$2:$D$9,3,FALSE)</f>
        <v>Finished Goods</v>
      </c>
    </row>
    <row r="155" spans="1:15" x14ac:dyDescent="0.25">
      <c r="A155" s="15" t="s">
        <v>181</v>
      </c>
      <c r="B155" s="5" t="s">
        <v>37</v>
      </c>
      <c r="C155" s="5" t="s">
        <v>57</v>
      </c>
      <c r="D155" s="5" t="s">
        <v>18</v>
      </c>
      <c r="E155" s="6">
        <v>45520</v>
      </c>
      <c r="F155" s="21">
        <v>45541</v>
      </c>
      <c r="G155" s="21">
        <v>45539</v>
      </c>
      <c r="H155" s="5">
        <v>1746</v>
      </c>
      <c r="I155" s="5">
        <v>1660</v>
      </c>
      <c r="J155" s="4" t="s">
        <v>14</v>
      </c>
      <c r="K155">
        <f>Table1[[#This Row],[Delivered Qty]]/Table1[[#This Row],[Ordered Qty]]</f>
        <v>0.95074455899198163</v>
      </c>
      <c r="L155">
        <f>VLOOKUP(Table1[[#This Row],[Supplier ID]],Suppliers!$A$2:$D$6,4,FALSE)</f>
        <v>21</v>
      </c>
      <c r="M155">
        <f>Table1[[#This Row],[Actual Delivery]]-Table1[[#This Row],[Order Date]]-Table1[[#This Row],[std Lead time]]</f>
        <v>-2</v>
      </c>
      <c r="N155">
        <f>IF(AND(Table1[[#This Row],[Status]] = "Delivered", Table1[[#This Row],[Actual Delivery]] &lt;= Table1[[#This Row],[Promised Delivery]],Table1[[#This Row],[FillRate]]&gt;=0.95),1,0)</f>
        <v>1</v>
      </c>
      <c r="O155" t="str">
        <f>VLOOKUP(B155,Products!$A$2:$D$9,3,FALSE)</f>
        <v>Raw Material</v>
      </c>
    </row>
    <row r="156" spans="1:15" x14ac:dyDescent="0.25">
      <c r="A156" s="14" t="s">
        <v>182</v>
      </c>
      <c r="B156" s="2" t="s">
        <v>30</v>
      </c>
      <c r="C156" s="2" t="s">
        <v>57</v>
      </c>
      <c r="D156" s="2" t="s">
        <v>28</v>
      </c>
      <c r="E156" s="3">
        <v>45514</v>
      </c>
      <c r="F156" s="20">
        <v>45535</v>
      </c>
      <c r="G156" s="20">
        <v>45534</v>
      </c>
      <c r="H156" s="2">
        <v>293</v>
      </c>
      <c r="I156" s="2">
        <v>270</v>
      </c>
      <c r="J156" s="4" t="s">
        <v>14</v>
      </c>
      <c r="K156">
        <f>Table1[[#This Row],[Delivered Qty]]/Table1[[#This Row],[Ordered Qty]]</f>
        <v>0.92150170648464169</v>
      </c>
      <c r="L156">
        <f>VLOOKUP(Table1[[#This Row],[Supplier ID]],Suppliers!$A$2:$D$6,4,FALSE)</f>
        <v>21</v>
      </c>
      <c r="M156">
        <f>Table1[[#This Row],[Actual Delivery]]-Table1[[#This Row],[Order Date]]-Table1[[#This Row],[std Lead time]]</f>
        <v>-1</v>
      </c>
      <c r="N156">
        <f>IF(AND(Table1[[#This Row],[Status]] = "Delivered", Table1[[#This Row],[Actual Delivery]] &lt;= Table1[[#This Row],[Promised Delivery]],Table1[[#This Row],[FillRate]]&gt;=0.95),1,0)</f>
        <v>0</v>
      </c>
      <c r="O156" t="str">
        <f>VLOOKUP(B156,Products!$A$2:$D$9,3,FALSE)</f>
        <v>Finished Goods</v>
      </c>
    </row>
    <row r="157" spans="1:15" x14ac:dyDescent="0.25">
      <c r="A157" s="15" t="s">
        <v>183</v>
      </c>
      <c r="B157" s="5" t="s">
        <v>11</v>
      </c>
      <c r="C157" s="5" t="s">
        <v>26</v>
      </c>
      <c r="D157" s="5" t="s">
        <v>13</v>
      </c>
      <c r="E157" s="6">
        <v>45514</v>
      </c>
      <c r="F157" s="21">
        <v>45521</v>
      </c>
      <c r="G157" s="21">
        <v>45524</v>
      </c>
      <c r="H157" s="5">
        <v>792</v>
      </c>
      <c r="I157" s="5">
        <v>674</v>
      </c>
      <c r="J157" s="4" t="s">
        <v>14</v>
      </c>
      <c r="K157">
        <f>Table1[[#This Row],[Delivered Qty]]/Table1[[#This Row],[Ordered Qty]]</f>
        <v>0.85101010101010099</v>
      </c>
      <c r="L157">
        <f>VLOOKUP(Table1[[#This Row],[Supplier ID]],Suppliers!$A$2:$D$6,4,FALSE)</f>
        <v>7</v>
      </c>
      <c r="M157">
        <f>Table1[[#This Row],[Actual Delivery]]-Table1[[#This Row],[Order Date]]-Table1[[#This Row],[std Lead time]]</f>
        <v>3</v>
      </c>
      <c r="N157">
        <f>IF(AND(Table1[[#This Row],[Status]] = "Delivered", Table1[[#This Row],[Actual Delivery]] &lt;= Table1[[#This Row],[Promised Delivery]],Table1[[#This Row],[FillRate]]&gt;=0.95),1,0)</f>
        <v>0</v>
      </c>
      <c r="O157" t="str">
        <f>VLOOKUP(B157,Products!$A$2:$D$9,3,FALSE)</f>
        <v>Packaging</v>
      </c>
    </row>
    <row r="158" spans="1:15" x14ac:dyDescent="0.25">
      <c r="A158" s="14" t="s">
        <v>184</v>
      </c>
      <c r="B158" s="2" t="s">
        <v>11</v>
      </c>
      <c r="C158" s="2" t="s">
        <v>57</v>
      </c>
      <c r="D158" s="2" t="s">
        <v>18</v>
      </c>
      <c r="E158" s="3">
        <v>45510</v>
      </c>
      <c r="F158" s="20">
        <v>45531</v>
      </c>
      <c r="G158" s="20">
        <v>45531</v>
      </c>
      <c r="H158" s="2">
        <v>671</v>
      </c>
      <c r="I158" s="2">
        <v>597</v>
      </c>
      <c r="J158" s="4" t="s">
        <v>14</v>
      </c>
      <c r="K158">
        <f>Table1[[#This Row],[Delivered Qty]]/Table1[[#This Row],[Ordered Qty]]</f>
        <v>0.88971684053651268</v>
      </c>
      <c r="L158">
        <f>VLOOKUP(Table1[[#This Row],[Supplier ID]],Suppliers!$A$2:$D$6,4,FALSE)</f>
        <v>21</v>
      </c>
      <c r="M158">
        <f>Table1[[#This Row],[Actual Delivery]]-Table1[[#This Row],[Order Date]]-Table1[[#This Row],[std Lead time]]</f>
        <v>0</v>
      </c>
      <c r="N158">
        <f>IF(AND(Table1[[#This Row],[Status]] = "Delivered", Table1[[#This Row],[Actual Delivery]] &lt;= Table1[[#This Row],[Promised Delivery]],Table1[[#This Row],[FillRate]]&gt;=0.95),1,0)</f>
        <v>0</v>
      </c>
      <c r="O158" t="str">
        <f>VLOOKUP(B158,Products!$A$2:$D$9,3,FALSE)</f>
        <v>Packaging</v>
      </c>
    </row>
    <row r="159" spans="1:15" x14ac:dyDescent="0.25">
      <c r="A159" s="15" t="s">
        <v>185</v>
      </c>
      <c r="B159" s="5" t="s">
        <v>30</v>
      </c>
      <c r="C159" s="5" t="s">
        <v>26</v>
      </c>
      <c r="D159" s="5" t="s">
        <v>18</v>
      </c>
      <c r="E159" s="6">
        <v>45532</v>
      </c>
      <c r="F159" s="21">
        <v>45539</v>
      </c>
      <c r="G159" s="21">
        <v>45538</v>
      </c>
      <c r="H159" s="5">
        <v>359</v>
      </c>
      <c r="I159" s="5">
        <v>354</v>
      </c>
      <c r="J159" s="4" t="s">
        <v>14</v>
      </c>
      <c r="K159">
        <f>Table1[[#This Row],[Delivered Qty]]/Table1[[#This Row],[Ordered Qty]]</f>
        <v>0.98607242339832868</v>
      </c>
      <c r="L159">
        <f>VLOOKUP(Table1[[#This Row],[Supplier ID]],Suppliers!$A$2:$D$6,4,FALSE)</f>
        <v>7</v>
      </c>
      <c r="M159">
        <f>Table1[[#This Row],[Actual Delivery]]-Table1[[#This Row],[Order Date]]-Table1[[#This Row],[std Lead time]]</f>
        <v>-1</v>
      </c>
      <c r="N159">
        <f>IF(AND(Table1[[#This Row],[Status]] = "Delivered", Table1[[#This Row],[Actual Delivery]] &lt;= Table1[[#This Row],[Promised Delivery]],Table1[[#This Row],[FillRate]]&gt;=0.95),1,0)</f>
        <v>1</v>
      </c>
      <c r="O159" t="str">
        <f>VLOOKUP(B159,Products!$A$2:$D$9,3,FALSE)</f>
        <v>Finished Goods</v>
      </c>
    </row>
    <row r="160" spans="1:15" x14ac:dyDescent="0.25">
      <c r="A160" s="14" t="s">
        <v>186</v>
      </c>
      <c r="B160" s="2" t="s">
        <v>22</v>
      </c>
      <c r="C160" s="2" t="s">
        <v>17</v>
      </c>
      <c r="D160" s="2" t="s">
        <v>18</v>
      </c>
      <c r="E160" s="3">
        <v>45527</v>
      </c>
      <c r="F160" s="20">
        <v>45533</v>
      </c>
      <c r="G160" s="20">
        <v>45532</v>
      </c>
      <c r="H160" s="2">
        <v>242</v>
      </c>
      <c r="I160" s="2">
        <v>241</v>
      </c>
      <c r="J160" s="4" t="s">
        <v>14</v>
      </c>
      <c r="K160">
        <f>Table1[[#This Row],[Delivered Qty]]/Table1[[#This Row],[Ordered Qty]]</f>
        <v>0.99586776859504134</v>
      </c>
      <c r="L160">
        <f>VLOOKUP(Table1[[#This Row],[Supplier ID]],Suppliers!$A$2:$D$6,4,FALSE)</f>
        <v>6</v>
      </c>
      <c r="M160">
        <f>Table1[[#This Row],[Actual Delivery]]-Table1[[#This Row],[Order Date]]-Table1[[#This Row],[std Lead time]]</f>
        <v>-1</v>
      </c>
      <c r="N160">
        <f>IF(AND(Table1[[#This Row],[Status]] = "Delivered", Table1[[#This Row],[Actual Delivery]] &lt;= Table1[[#This Row],[Promised Delivery]],Table1[[#This Row],[FillRate]]&gt;=0.95),1,0)</f>
        <v>1</v>
      </c>
      <c r="O160" t="str">
        <f>VLOOKUP(B160,Products!$A$2:$D$9,3,FALSE)</f>
        <v>Finished Goods</v>
      </c>
    </row>
    <row r="161" spans="1:15" x14ac:dyDescent="0.25">
      <c r="A161" s="15" t="s">
        <v>187</v>
      </c>
      <c r="B161" s="5" t="s">
        <v>33</v>
      </c>
      <c r="C161" s="5" t="s">
        <v>17</v>
      </c>
      <c r="D161" s="5" t="s">
        <v>18</v>
      </c>
      <c r="E161" s="6">
        <v>45531</v>
      </c>
      <c r="F161" s="21">
        <v>45537</v>
      </c>
      <c r="G161" s="21">
        <v>45535</v>
      </c>
      <c r="H161" s="5">
        <v>698</v>
      </c>
      <c r="I161" s="5">
        <v>658</v>
      </c>
      <c r="J161" s="4" t="s">
        <v>14</v>
      </c>
      <c r="K161">
        <f>Table1[[#This Row],[Delivered Qty]]/Table1[[#This Row],[Ordered Qty]]</f>
        <v>0.94269340974212035</v>
      </c>
      <c r="L161">
        <f>VLOOKUP(Table1[[#This Row],[Supplier ID]],Suppliers!$A$2:$D$6,4,FALSE)</f>
        <v>6</v>
      </c>
      <c r="M161">
        <f>Table1[[#This Row],[Actual Delivery]]-Table1[[#This Row],[Order Date]]-Table1[[#This Row],[std Lead time]]</f>
        <v>-2</v>
      </c>
      <c r="N161">
        <f>IF(AND(Table1[[#This Row],[Status]] = "Delivered", Table1[[#This Row],[Actual Delivery]] &lt;= Table1[[#This Row],[Promised Delivery]],Table1[[#This Row],[FillRate]]&gt;=0.95),1,0)</f>
        <v>0</v>
      </c>
      <c r="O161" t="str">
        <f>VLOOKUP(B161,Products!$A$2:$D$9,3,FALSE)</f>
        <v>Raw Material</v>
      </c>
    </row>
    <row r="162" spans="1:15" x14ac:dyDescent="0.25">
      <c r="A162" s="14" t="s">
        <v>188</v>
      </c>
      <c r="B162" s="2" t="s">
        <v>22</v>
      </c>
      <c r="C162" s="2" t="s">
        <v>17</v>
      </c>
      <c r="D162" s="2" t="s">
        <v>28</v>
      </c>
      <c r="E162" s="3">
        <v>45517</v>
      </c>
      <c r="F162" s="20">
        <v>45523</v>
      </c>
      <c r="G162" s="20">
        <v>45525</v>
      </c>
      <c r="H162" s="2">
        <v>882</v>
      </c>
      <c r="I162" s="2">
        <v>862</v>
      </c>
      <c r="J162" s="4" t="s">
        <v>14</v>
      </c>
      <c r="K162">
        <f>Table1[[#This Row],[Delivered Qty]]/Table1[[#This Row],[Ordered Qty]]</f>
        <v>0.9773242630385488</v>
      </c>
      <c r="L162">
        <f>VLOOKUP(Table1[[#This Row],[Supplier ID]],Suppliers!$A$2:$D$6,4,FALSE)</f>
        <v>6</v>
      </c>
      <c r="M162">
        <f>Table1[[#This Row],[Actual Delivery]]-Table1[[#This Row],[Order Date]]-Table1[[#This Row],[std Lead time]]</f>
        <v>2</v>
      </c>
      <c r="N162">
        <f>IF(AND(Table1[[#This Row],[Status]] = "Delivered", Table1[[#This Row],[Actual Delivery]] &lt;= Table1[[#This Row],[Promised Delivery]],Table1[[#This Row],[FillRate]]&gt;=0.95),1,0)</f>
        <v>0</v>
      </c>
      <c r="O162" t="str">
        <f>VLOOKUP(B162,Products!$A$2:$D$9,3,FALSE)</f>
        <v>Finished Goods</v>
      </c>
    </row>
    <row r="163" spans="1:15" x14ac:dyDescent="0.25">
      <c r="A163" s="15" t="s">
        <v>189</v>
      </c>
      <c r="B163" s="5" t="s">
        <v>16</v>
      </c>
      <c r="C163" s="5" t="s">
        <v>17</v>
      </c>
      <c r="D163" s="5" t="s">
        <v>28</v>
      </c>
      <c r="E163" s="6">
        <v>45521</v>
      </c>
      <c r="F163" s="21">
        <v>45527</v>
      </c>
      <c r="G163" s="21">
        <v>45530</v>
      </c>
      <c r="H163" s="5">
        <v>919</v>
      </c>
      <c r="I163" s="5">
        <v>863</v>
      </c>
      <c r="J163" s="4" t="s">
        <v>14</v>
      </c>
      <c r="K163">
        <f>Table1[[#This Row],[Delivered Qty]]/Table1[[#This Row],[Ordered Qty]]</f>
        <v>0.93906420021762782</v>
      </c>
      <c r="L163">
        <f>VLOOKUP(Table1[[#This Row],[Supplier ID]],Suppliers!$A$2:$D$6,4,FALSE)</f>
        <v>6</v>
      </c>
      <c r="M163">
        <f>Table1[[#This Row],[Actual Delivery]]-Table1[[#This Row],[Order Date]]-Table1[[#This Row],[std Lead time]]</f>
        <v>3</v>
      </c>
      <c r="N163">
        <f>IF(AND(Table1[[#This Row],[Status]] = "Delivered", Table1[[#This Row],[Actual Delivery]] &lt;= Table1[[#This Row],[Promised Delivery]],Table1[[#This Row],[FillRate]]&gt;=0.95),1,0)</f>
        <v>0</v>
      </c>
      <c r="O163" t="str">
        <f>VLOOKUP(B163,Products!$A$2:$D$9,3,FALSE)</f>
        <v>Packaging</v>
      </c>
    </row>
    <row r="164" spans="1:15" x14ac:dyDescent="0.25">
      <c r="A164" s="14" t="s">
        <v>190</v>
      </c>
      <c r="B164" s="2" t="s">
        <v>33</v>
      </c>
      <c r="C164" s="2" t="s">
        <v>31</v>
      </c>
      <c r="D164" s="2" t="s">
        <v>28</v>
      </c>
      <c r="E164" s="3">
        <v>45509</v>
      </c>
      <c r="F164" s="20">
        <v>45514</v>
      </c>
      <c r="G164" s="20">
        <v>45514</v>
      </c>
      <c r="H164" s="2">
        <v>513</v>
      </c>
      <c r="I164" s="2">
        <v>500</v>
      </c>
      <c r="J164" s="4" t="s">
        <v>14</v>
      </c>
      <c r="K164">
        <f>Table1[[#This Row],[Delivered Qty]]/Table1[[#This Row],[Ordered Qty]]</f>
        <v>0.97465886939571145</v>
      </c>
      <c r="L164">
        <f>VLOOKUP(Table1[[#This Row],[Supplier ID]],Suppliers!$A$2:$D$6,4,FALSE)</f>
        <v>5</v>
      </c>
      <c r="M164">
        <f>Table1[[#This Row],[Actual Delivery]]-Table1[[#This Row],[Order Date]]-Table1[[#This Row],[std Lead time]]</f>
        <v>0</v>
      </c>
      <c r="N164">
        <f>IF(AND(Table1[[#This Row],[Status]] = "Delivered", Table1[[#This Row],[Actual Delivery]] &lt;= Table1[[#This Row],[Promised Delivery]],Table1[[#This Row],[FillRate]]&gt;=0.95),1,0)</f>
        <v>1</v>
      </c>
      <c r="O164" t="str">
        <f>VLOOKUP(B164,Products!$A$2:$D$9,3,FALSE)</f>
        <v>Raw Material</v>
      </c>
    </row>
    <row r="165" spans="1:15" x14ac:dyDescent="0.25">
      <c r="A165" s="15" t="s">
        <v>191</v>
      </c>
      <c r="B165" s="5" t="s">
        <v>16</v>
      </c>
      <c r="C165" s="5" t="s">
        <v>31</v>
      </c>
      <c r="D165" s="5" t="s">
        <v>18</v>
      </c>
      <c r="E165" s="6">
        <v>45519</v>
      </c>
      <c r="F165" s="21">
        <v>45524</v>
      </c>
      <c r="G165" s="21">
        <v>45524</v>
      </c>
      <c r="H165" s="5">
        <v>1516</v>
      </c>
      <c r="I165" s="5">
        <v>1394</v>
      </c>
      <c r="J165" s="4" t="s">
        <v>14</v>
      </c>
      <c r="K165">
        <f>Table1[[#This Row],[Delivered Qty]]/Table1[[#This Row],[Ordered Qty]]</f>
        <v>0.91952506596306072</v>
      </c>
      <c r="L165">
        <f>VLOOKUP(Table1[[#This Row],[Supplier ID]],Suppliers!$A$2:$D$6,4,FALSE)</f>
        <v>5</v>
      </c>
      <c r="M165">
        <f>Table1[[#This Row],[Actual Delivery]]-Table1[[#This Row],[Order Date]]-Table1[[#This Row],[std Lead time]]</f>
        <v>0</v>
      </c>
      <c r="N165">
        <f>IF(AND(Table1[[#This Row],[Status]] = "Delivered", Table1[[#This Row],[Actual Delivery]] &lt;= Table1[[#This Row],[Promised Delivery]],Table1[[#This Row],[FillRate]]&gt;=0.95),1,0)</f>
        <v>0</v>
      </c>
      <c r="O165" t="str">
        <f>VLOOKUP(B165,Products!$A$2:$D$9,3,FALSE)</f>
        <v>Packaging</v>
      </c>
    </row>
    <row r="166" spans="1:15" x14ac:dyDescent="0.25">
      <c r="A166" s="14" t="s">
        <v>192</v>
      </c>
      <c r="B166" s="2" t="s">
        <v>30</v>
      </c>
      <c r="C166" s="2" t="s">
        <v>12</v>
      </c>
      <c r="D166" s="2" t="s">
        <v>13</v>
      </c>
      <c r="E166" s="3">
        <v>45519</v>
      </c>
      <c r="F166" s="20">
        <v>45537</v>
      </c>
      <c r="G166" s="20">
        <v>45537</v>
      </c>
      <c r="H166" s="2">
        <v>820</v>
      </c>
      <c r="I166" s="2">
        <v>803</v>
      </c>
      <c r="J166" s="4" t="s">
        <v>14</v>
      </c>
      <c r="K166">
        <f>Table1[[#This Row],[Delivered Qty]]/Table1[[#This Row],[Ordered Qty]]</f>
        <v>0.97926829268292681</v>
      </c>
      <c r="L166">
        <f>VLOOKUP(Table1[[#This Row],[Supplier ID]],Suppliers!$A$2:$D$6,4,FALSE)</f>
        <v>18</v>
      </c>
      <c r="M166">
        <f>Table1[[#This Row],[Actual Delivery]]-Table1[[#This Row],[Order Date]]-Table1[[#This Row],[std Lead time]]</f>
        <v>0</v>
      </c>
      <c r="N166">
        <f>IF(AND(Table1[[#This Row],[Status]] = "Delivered", Table1[[#This Row],[Actual Delivery]] &lt;= Table1[[#This Row],[Promised Delivery]],Table1[[#This Row],[FillRate]]&gt;=0.95),1,0)</f>
        <v>1</v>
      </c>
      <c r="O166" t="str">
        <f>VLOOKUP(B166,Products!$A$2:$D$9,3,FALSE)</f>
        <v>Finished Goods</v>
      </c>
    </row>
    <row r="167" spans="1:15" x14ac:dyDescent="0.25">
      <c r="A167" s="15" t="s">
        <v>193</v>
      </c>
      <c r="B167" s="5" t="s">
        <v>11</v>
      </c>
      <c r="C167" s="5" t="s">
        <v>12</v>
      </c>
      <c r="D167" s="5" t="s">
        <v>28</v>
      </c>
      <c r="E167" s="6">
        <v>45514</v>
      </c>
      <c r="F167" s="21">
        <v>45532</v>
      </c>
      <c r="G167" s="21">
        <v>45530</v>
      </c>
      <c r="H167" s="5">
        <v>955</v>
      </c>
      <c r="I167" s="5">
        <v>919</v>
      </c>
      <c r="J167" s="4" t="s">
        <v>14</v>
      </c>
      <c r="K167">
        <f>Table1[[#This Row],[Delivered Qty]]/Table1[[#This Row],[Ordered Qty]]</f>
        <v>0.96230366492146602</v>
      </c>
      <c r="L167">
        <f>VLOOKUP(Table1[[#This Row],[Supplier ID]],Suppliers!$A$2:$D$6,4,FALSE)</f>
        <v>18</v>
      </c>
      <c r="M167">
        <f>Table1[[#This Row],[Actual Delivery]]-Table1[[#This Row],[Order Date]]-Table1[[#This Row],[std Lead time]]</f>
        <v>-2</v>
      </c>
      <c r="N167">
        <f>IF(AND(Table1[[#This Row],[Status]] = "Delivered", Table1[[#This Row],[Actual Delivery]] &lt;= Table1[[#This Row],[Promised Delivery]],Table1[[#This Row],[FillRate]]&gt;=0.95),1,0)</f>
        <v>1</v>
      </c>
      <c r="O167" t="str">
        <f>VLOOKUP(B167,Products!$A$2:$D$9,3,FALSE)</f>
        <v>Packaging</v>
      </c>
    </row>
    <row r="168" spans="1:15" x14ac:dyDescent="0.25">
      <c r="A168" s="14" t="s">
        <v>194</v>
      </c>
      <c r="B168" s="2" t="s">
        <v>16</v>
      </c>
      <c r="C168" s="2" t="s">
        <v>26</v>
      </c>
      <c r="D168" s="2" t="s">
        <v>18</v>
      </c>
      <c r="E168" s="3">
        <v>45519</v>
      </c>
      <c r="F168" s="20">
        <v>45526</v>
      </c>
      <c r="G168" s="20">
        <v>45526</v>
      </c>
      <c r="H168" s="2">
        <v>1534</v>
      </c>
      <c r="I168" s="2">
        <v>1260</v>
      </c>
      <c r="J168" s="4" t="s">
        <v>14</v>
      </c>
      <c r="K168">
        <f>Table1[[#This Row],[Delivered Qty]]/Table1[[#This Row],[Ordered Qty]]</f>
        <v>0.82138200782268578</v>
      </c>
      <c r="L168">
        <f>VLOOKUP(Table1[[#This Row],[Supplier ID]],Suppliers!$A$2:$D$6,4,FALSE)</f>
        <v>7</v>
      </c>
      <c r="M168">
        <f>Table1[[#This Row],[Actual Delivery]]-Table1[[#This Row],[Order Date]]-Table1[[#This Row],[std Lead time]]</f>
        <v>0</v>
      </c>
      <c r="N168">
        <f>IF(AND(Table1[[#This Row],[Status]] = "Delivered", Table1[[#This Row],[Actual Delivery]] &lt;= Table1[[#This Row],[Promised Delivery]],Table1[[#This Row],[FillRate]]&gt;=0.95),1,0)</f>
        <v>0</v>
      </c>
      <c r="O168" t="str">
        <f>VLOOKUP(B168,Products!$A$2:$D$9,3,FALSE)</f>
        <v>Packaging</v>
      </c>
    </row>
    <row r="169" spans="1:15" x14ac:dyDescent="0.25">
      <c r="A169" s="15" t="s">
        <v>195</v>
      </c>
      <c r="B169" s="5" t="s">
        <v>44</v>
      </c>
      <c r="C169" s="5" t="s">
        <v>17</v>
      </c>
      <c r="D169" s="5" t="s">
        <v>13</v>
      </c>
      <c r="E169" s="6">
        <v>45506</v>
      </c>
      <c r="F169" s="21">
        <v>45512</v>
      </c>
      <c r="G169" s="21">
        <v>45511</v>
      </c>
      <c r="H169" s="5">
        <v>1662</v>
      </c>
      <c r="I169" s="5">
        <v>1509</v>
      </c>
      <c r="J169" s="4" t="s">
        <v>14</v>
      </c>
      <c r="K169">
        <f>Table1[[#This Row],[Delivered Qty]]/Table1[[#This Row],[Ordered Qty]]</f>
        <v>0.90794223826714804</v>
      </c>
      <c r="L169">
        <f>VLOOKUP(Table1[[#This Row],[Supplier ID]],Suppliers!$A$2:$D$6,4,FALSE)</f>
        <v>6</v>
      </c>
      <c r="M169">
        <f>Table1[[#This Row],[Actual Delivery]]-Table1[[#This Row],[Order Date]]-Table1[[#This Row],[std Lead time]]</f>
        <v>-1</v>
      </c>
      <c r="N169">
        <f>IF(AND(Table1[[#This Row],[Status]] = "Delivered", Table1[[#This Row],[Actual Delivery]] &lt;= Table1[[#This Row],[Promised Delivery]],Table1[[#This Row],[FillRate]]&gt;=0.95),1,0)</f>
        <v>0</v>
      </c>
      <c r="O169" t="str">
        <f>VLOOKUP(B169,Products!$A$2:$D$9,3,FALSE)</f>
        <v>Finished Goods</v>
      </c>
    </row>
    <row r="170" spans="1:15" x14ac:dyDescent="0.25">
      <c r="A170" s="14" t="s">
        <v>196</v>
      </c>
      <c r="B170" s="2" t="s">
        <v>33</v>
      </c>
      <c r="C170" s="2" t="s">
        <v>26</v>
      </c>
      <c r="D170" s="2" t="s">
        <v>13</v>
      </c>
      <c r="E170" s="3">
        <v>45527</v>
      </c>
      <c r="F170" s="20">
        <v>45534</v>
      </c>
      <c r="G170" s="20">
        <v>45549</v>
      </c>
      <c r="H170" s="2">
        <v>1270</v>
      </c>
      <c r="I170" s="2">
        <v>1220</v>
      </c>
      <c r="J170" s="4" t="s">
        <v>14</v>
      </c>
      <c r="K170">
        <f>Table1[[#This Row],[Delivered Qty]]/Table1[[#This Row],[Ordered Qty]]</f>
        <v>0.96062992125984248</v>
      </c>
      <c r="L170">
        <f>VLOOKUP(Table1[[#This Row],[Supplier ID]],Suppliers!$A$2:$D$6,4,FALSE)</f>
        <v>7</v>
      </c>
      <c r="M170">
        <f>Table1[[#This Row],[Actual Delivery]]-Table1[[#This Row],[Order Date]]-Table1[[#This Row],[std Lead time]]</f>
        <v>15</v>
      </c>
      <c r="N170">
        <f>IF(AND(Table1[[#This Row],[Status]] = "Delivered", Table1[[#This Row],[Actual Delivery]] &lt;= Table1[[#This Row],[Promised Delivery]],Table1[[#This Row],[FillRate]]&gt;=0.95),1,0)</f>
        <v>0</v>
      </c>
      <c r="O170" t="str">
        <f>VLOOKUP(B170,Products!$A$2:$D$9,3,FALSE)</f>
        <v>Raw Material</v>
      </c>
    </row>
    <row r="171" spans="1:15" x14ac:dyDescent="0.25">
      <c r="A171" s="15" t="s">
        <v>197</v>
      </c>
      <c r="B171" s="5" t="s">
        <v>30</v>
      </c>
      <c r="C171" s="5" t="s">
        <v>12</v>
      </c>
      <c r="D171" s="5" t="s">
        <v>23</v>
      </c>
      <c r="E171" s="6">
        <v>45517</v>
      </c>
      <c r="F171" s="21">
        <v>45535</v>
      </c>
      <c r="G171" s="21">
        <v>45541</v>
      </c>
      <c r="H171" s="5">
        <v>1424</v>
      </c>
      <c r="I171" s="5">
        <v>1289</v>
      </c>
      <c r="J171" s="4" t="s">
        <v>14</v>
      </c>
      <c r="K171">
        <f>Table1[[#This Row],[Delivered Qty]]/Table1[[#This Row],[Ordered Qty]]</f>
        <v>0.90519662921348309</v>
      </c>
      <c r="L171">
        <f>VLOOKUP(Table1[[#This Row],[Supplier ID]],Suppliers!$A$2:$D$6,4,FALSE)</f>
        <v>18</v>
      </c>
      <c r="M171">
        <f>Table1[[#This Row],[Actual Delivery]]-Table1[[#This Row],[Order Date]]-Table1[[#This Row],[std Lead time]]</f>
        <v>6</v>
      </c>
      <c r="N171">
        <f>IF(AND(Table1[[#This Row],[Status]] = "Delivered", Table1[[#This Row],[Actual Delivery]] &lt;= Table1[[#This Row],[Promised Delivery]],Table1[[#This Row],[FillRate]]&gt;=0.95),1,0)</f>
        <v>0</v>
      </c>
      <c r="O171" t="str">
        <f>VLOOKUP(B171,Products!$A$2:$D$9,3,FALSE)</f>
        <v>Finished Goods</v>
      </c>
    </row>
    <row r="172" spans="1:15" x14ac:dyDescent="0.25">
      <c r="A172" s="14" t="s">
        <v>198</v>
      </c>
      <c r="B172" s="2" t="s">
        <v>30</v>
      </c>
      <c r="C172" s="2" t="s">
        <v>26</v>
      </c>
      <c r="D172" s="2" t="s">
        <v>23</v>
      </c>
      <c r="E172" s="3">
        <v>45508</v>
      </c>
      <c r="F172" s="20">
        <v>45515</v>
      </c>
      <c r="G172" s="20">
        <v>45515</v>
      </c>
      <c r="H172" s="2">
        <v>1944</v>
      </c>
      <c r="I172" s="2">
        <v>1877</v>
      </c>
      <c r="J172" s="4" t="s">
        <v>14</v>
      </c>
      <c r="K172">
        <f>Table1[[#This Row],[Delivered Qty]]/Table1[[#This Row],[Ordered Qty]]</f>
        <v>0.96553497942386834</v>
      </c>
      <c r="L172">
        <f>VLOOKUP(Table1[[#This Row],[Supplier ID]],Suppliers!$A$2:$D$6,4,FALSE)</f>
        <v>7</v>
      </c>
      <c r="M172">
        <f>Table1[[#This Row],[Actual Delivery]]-Table1[[#This Row],[Order Date]]-Table1[[#This Row],[std Lead time]]</f>
        <v>0</v>
      </c>
      <c r="N172">
        <f>IF(AND(Table1[[#This Row],[Status]] = "Delivered", Table1[[#This Row],[Actual Delivery]] &lt;= Table1[[#This Row],[Promised Delivery]],Table1[[#This Row],[FillRate]]&gt;=0.95),1,0)</f>
        <v>1</v>
      </c>
      <c r="O172" t="str">
        <f>VLOOKUP(B172,Products!$A$2:$D$9,3,FALSE)</f>
        <v>Finished Goods</v>
      </c>
    </row>
    <row r="173" spans="1:15" x14ac:dyDescent="0.25">
      <c r="A173" s="15" t="s">
        <v>199</v>
      </c>
      <c r="B173" s="5" t="s">
        <v>33</v>
      </c>
      <c r="C173" s="5" t="s">
        <v>12</v>
      </c>
      <c r="D173" s="5" t="s">
        <v>28</v>
      </c>
      <c r="E173" s="6">
        <v>45523</v>
      </c>
      <c r="F173" s="21">
        <v>45541</v>
      </c>
      <c r="G173" s="21">
        <v>45544</v>
      </c>
      <c r="H173" s="5">
        <v>1543</v>
      </c>
      <c r="I173" s="5">
        <v>1496</v>
      </c>
      <c r="J173" s="4" t="s">
        <v>14</v>
      </c>
      <c r="K173">
        <f>Table1[[#This Row],[Delivered Qty]]/Table1[[#This Row],[Ordered Qty]]</f>
        <v>0.96953985742060922</v>
      </c>
      <c r="L173">
        <f>VLOOKUP(Table1[[#This Row],[Supplier ID]],Suppliers!$A$2:$D$6,4,FALSE)</f>
        <v>18</v>
      </c>
      <c r="M173">
        <f>Table1[[#This Row],[Actual Delivery]]-Table1[[#This Row],[Order Date]]-Table1[[#This Row],[std Lead time]]</f>
        <v>3</v>
      </c>
      <c r="N173">
        <f>IF(AND(Table1[[#This Row],[Status]] = "Delivered", Table1[[#This Row],[Actual Delivery]] &lt;= Table1[[#This Row],[Promised Delivery]],Table1[[#This Row],[FillRate]]&gt;=0.95),1,0)</f>
        <v>0</v>
      </c>
      <c r="O173" t="str">
        <f>VLOOKUP(B173,Products!$A$2:$D$9,3,FALSE)</f>
        <v>Raw Material</v>
      </c>
    </row>
    <row r="174" spans="1:15" x14ac:dyDescent="0.25">
      <c r="A174" s="14" t="s">
        <v>200</v>
      </c>
      <c r="B174" s="2" t="s">
        <v>22</v>
      </c>
      <c r="C174" s="2" t="s">
        <v>31</v>
      </c>
      <c r="D174" s="2" t="s">
        <v>28</v>
      </c>
      <c r="E174" s="3">
        <v>45514</v>
      </c>
      <c r="F174" s="20">
        <v>45519</v>
      </c>
      <c r="G174" s="20">
        <v>45518</v>
      </c>
      <c r="H174" s="2">
        <v>1865</v>
      </c>
      <c r="I174" s="2">
        <v>1702</v>
      </c>
      <c r="J174" s="4" t="s">
        <v>14</v>
      </c>
      <c r="K174">
        <f>Table1[[#This Row],[Delivered Qty]]/Table1[[#This Row],[Ordered Qty]]</f>
        <v>0.9126005361930295</v>
      </c>
      <c r="L174">
        <f>VLOOKUP(Table1[[#This Row],[Supplier ID]],Suppliers!$A$2:$D$6,4,FALSE)</f>
        <v>5</v>
      </c>
      <c r="M174">
        <f>Table1[[#This Row],[Actual Delivery]]-Table1[[#This Row],[Order Date]]-Table1[[#This Row],[std Lead time]]</f>
        <v>-1</v>
      </c>
      <c r="N174">
        <f>IF(AND(Table1[[#This Row],[Status]] = "Delivered", Table1[[#This Row],[Actual Delivery]] &lt;= Table1[[#This Row],[Promised Delivery]],Table1[[#This Row],[FillRate]]&gt;=0.95),1,0)</f>
        <v>0</v>
      </c>
      <c r="O174" t="str">
        <f>VLOOKUP(B174,Products!$A$2:$D$9,3,FALSE)</f>
        <v>Finished Goods</v>
      </c>
    </row>
    <row r="175" spans="1:15" x14ac:dyDescent="0.25">
      <c r="A175" s="15" t="s">
        <v>201</v>
      </c>
      <c r="B175" s="5" t="s">
        <v>16</v>
      </c>
      <c r="C175" s="5" t="s">
        <v>57</v>
      </c>
      <c r="D175" s="5" t="s">
        <v>23</v>
      </c>
      <c r="E175" s="6">
        <v>45505</v>
      </c>
      <c r="F175" s="21">
        <v>45526</v>
      </c>
      <c r="G175" s="21">
        <v>45524</v>
      </c>
      <c r="H175" s="5">
        <v>899</v>
      </c>
      <c r="I175" s="5">
        <v>888</v>
      </c>
      <c r="J175" s="4" t="s">
        <v>14</v>
      </c>
      <c r="K175">
        <f>Table1[[#This Row],[Delivered Qty]]/Table1[[#This Row],[Ordered Qty]]</f>
        <v>0.98776418242491659</v>
      </c>
      <c r="L175">
        <f>VLOOKUP(Table1[[#This Row],[Supplier ID]],Suppliers!$A$2:$D$6,4,FALSE)</f>
        <v>21</v>
      </c>
      <c r="M175">
        <f>Table1[[#This Row],[Actual Delivery]]-Table1[[#This Row],[Order Date]]-Table1[[#This Row],[std Lead time]]</f>
        <v>-2</v>
      </c>
      <c r="N175">
        <f>IF(AND(Table1[[#This Row],[Status]] = "Delivered", Table1[[#This Row],[Actual Delivery]] &lt;= Table1[[#This Row],[Promised Delivery]],Table1[[#This Row],[FillRate]]&gt;=0.95),1,0)</f>
        <v>1</v>
      </c>
      <c r="O175" t="str">
        <f>VLOOKUP(B175,Products!$A$2:$D$9,3,FALSE)</f>
        <v>Packaging</v>
      </c>
    </row>
    <row r="176" spans="1:15" x14ac:dyDescent="0.25">
      <c r="A176" s="14" t="s">
        <v>202</v>
      </c>
      <c r="B176" s="2" t="s">
        <v>44</v>
      </c>
      <c r="C176" s="2" t="s">
        <v>31</v>
      </c>
      <c r="D176" s="2" t="s">
        <v>13</v>
      </c>
      <c r="E176" s="3">
        <v>45509</v>
      </c>
      <c r="F176" s="20">
        <v>45514</v>
      </c>
      <c r="G176" s="20">
        <v>45512</v>
      </c>
      <c r="H176" s="2">
        <v>1239</v>
      </c>
      <c r="I176" s="2">
        <v>1210</v>
      </c>
      <c r="J176" s="4" t="s">
        <v>14</v>
      </c>
      <c r="K176">
        <f>Table1[[#This Row],[Delivered Qty]]/Table1[[#This Row],[Ordered Qty]]</f>
        <v>0.97659402744148505</v>
      </c>
      <c r="L176">
        <f>VLOOKUP(Table1[[#This Row],[Supplier ID]],Suppliers!$A$2:$D$6,4,FALSE)</f>
        <v>5</v>
      </c>
      <c r="M176">
        <f>Table1[[#This Row],[Actual Delivery]]-Table1[[#This Row],[Order Date]]-Table1[[#This Row],[std Lead time]]</f>
        <v>-2</v>
      </c>
      <c r="N176">
        <f>IF(AND(Table1[[#This Row],[Status]] = "Delivered", Table1[[#This Row],[Actual Delivery]] &lt;= Table1[[#This Row],[Promised Delivery]],Table1[[#This Row],[FillRate]]&gt;=0.95),1,0)</f>
        <v>1</v>
      </c>
      <c r="O176" t="str">
        <f>VLOOKUP(B176,Products!$A$2:$D$9,3,FALSE)</f>
        <v>Finished Goods</v>
      </c>
    </row>
    <row r="177" spans="1:15" x14ac:dyDescent="0.25">
      <c r="A177" s="15" t="s">
        <v>203</v>
      </c>
      <c r="B177" s="5" t="s">
        <v>11</v>
      </c>
      <c r="C177" s="5" t="s">
        <v>12</v>
      </c>
      <c r="D177" s="5" t="s">
        <v>13</v>
      </c>
      <c r="E177" s="6">
        <v>45524</v>
      </c>
      <c r="F177" s="21">
        <v>45542</v>
      </c>
      <c r="G177" s="21">
        <v>45540</v>
      </c>
      <c r="H177" s="5">
        <v>1902</v>
      </c>
      <c r="I177" s="5">
        <v>1773</v>
      </c>
      <c r="J177" s="4" t="s">
        <v>14</v>
      </c>
      <c r="K177">
        <f>Table1[[#This Row],[Delivered Qty]]/Table1[[#This Row],[Ordered Qty]]</f>
        <v>0.93217665615141954</v>
      </c>
      <c r="L177">
        <f>VLOOKUP(Table1[[#This Row],[Supplier ID]],Suppliers!$A$2:$D$6,4,FALSE)</f>
        <v>18</v>
      </c>
      <c r="M177">
        <f>Table1[[#This Row],[Actual Delivery]]-Table1[[#This Row],[Order Date]]-Table1[[#This Row],[std Lead time]]</f>
        <v>-2</v>
      </c>
      <c r="N177">
        <f>IF(AND(Table1[[#This Row],[Status]] = "Delivered", Table1[[#This Row],[Actual Delivery]] &lt;= Table1[[#This Row],[Promised Delivery]],Table1[[#This Row],[FillRate]]&gt;=0.95),1,0)</f>
        <v>0</v>
      </c>
      <c r="O177" t="str">
        <f>VLOOKUP(B177,Products!$A$2:$D$9,3,FALSE)</f>
        <v>Packaging</v>
      </c>
    </row>
    <row r="178" spans="1:15" x14ac:dyDescent="0.25">
      <c r="A178" s="14" t="s">
        <v>204</v>
      </c>
      <c r="B178" s="2" t="s">
        <v>33</v>
      </c>
      <c r="C178" s="2" t="s">
        <v>57</v>
      </c>
      <c r="D178" s="2" t="s">
        <v>28</v>
      </c>
      <c r="E178" s="3">
        <v>45518</v>
      </c>
      <c r="F178" s="20">
        <v>45539</v>
      </c>
      <c r="G178" s="20">
        <v>45537</v>
      </c>
      <c r="H178" s="2">
        <v>1109</v>
      </c>
      <c r="I178" s="2">
        <v>1065</v>
      </c>
      <c r="J178" s="4" t="s">
        <v>14</v>
      </c>
      <c r="K178">
        <f>Table1[[#This Row],[Delivered Qty]]/Table1[[#This Row],[Ordered Qty]]</f>
        <v>0.96032461677186653</v>
      </c>
      <c r="L178">
        <f>VLOOKUP(Table1[[#This Row],[Supplier ID]],Suppliers!$A$2:$D$6,4,FALSE)</f>
        <v>21</v>
      </c>
      <c r="M178">
        <f>Table1[[#This Row],[Actual Delivery]]-Table1[[#This Row],[Order Date]]-Table1[[#This Row],[std Lead time]]</f>
        <v>-2</v>
      </c>
      <c r="N178">
        <f>IF(AND(Table1[[#This Row],[Status]] = "Delivered", Table1[[#This Row],[Actual Delivery]] &lt;= Table1[[#This Row],[Promised Delivery]],Table1[[#This Row],[FillRate]]&gt;=0.95),1,0)</f>
        <v>1</v>
      </c>
      <c r="O178" t="str">
        <f>VLOOKUP(B178,Products!$A$2:$D$9,3,FALSE)</f>
        <v>Raw Material</v>
      </c>
    </row>
    <row r="179" spans="1:15" x14ac:dyDescent="0.25">
      <c r="A179" s="15" t="s">
        <v>205</v>
      </c>
      <c r="B179" s="5" t="s">
        <v>44</v>
      </c>
      <c r="C179" s="5" t="s">
        <v>31</v>
      </c>
      <c r="D179" s="5" t="s">
        <v>13</v>
      </c>
      <c r="E179" s="6">
        <v>45514</v>
      </c>
      <c r="F179" s="21">
        <v>45519</v>
      </c>
      <c r="G179" s="21">
        <v>45521</v>
      </c>
      <c r="H179" s="5">
        <v>953</v>
      </c>
      <c r="I179" s="5">
        <v>922</v>
      </c>
      <c r="J179" s="4" t="s">
        <v>14</v>
      </c>
      <c r="K179">
        <f>Table1[[#This Row],[Delivered Qty]]/Table1[[#This Row],[Ordered Qty]]</f>
        <v>0.96747114375655818</v>
      </c>
      <c r="L179">
        <f>VLOOKUP(Table1[[#This Row],[Supplier ID]],Suppliers!$A$2:$D$6,4,FALSE)</f>
        <v>5</v>
      </c>
      <c r="M179">
        <f>Table1[[#This Row],[Actual Delivery]]-Table1[[#This Row],[Order Date]]-Table1[[#This Row],[std Lead time]]</f>
        <v>2</v>
      </c>
      <c r="N179">
        <f>IF(AND(Table1[[#This Row],[Status]] = "Delivered", Table1[[#This Row],[Actual Delivery]] &lt;= Table1[[#This Row],[Promised Delivery]],Table1[[#This Row],[FillRate]]&gt;=0.95),1,0)</f>
        <v>0</v>
      </c>
      <c r="O179" t="str">
        <f>VLOOKUP(B179,Products!$A$2:$D$9,3,FALSE)</f>
        <v>Finished Goods</v>
      </c>
    </row>
    <row r="180" spans="1:15" x14ac:dyDescent="0.25">
      <c r="A180" s="14" t="s">
        <v>206</v>
      </c>
      <c r="B180" s="2" t="s">
        <v>44</v>
      </c>
      <c r="C180" s="2" t="s">
        <v>57</v>
      </c>
      <c r="D180" s="2" t="s">
        <v>23</v>
      </c>
      <c r="E180" s="3">
        <v>45529</v>
      </c>
      <c r="F180" s="20">
        <v>45550</v>
      </c>
      <c r="G180" s="20">
        <v>45549</v>
      </c>
      <c r="H180" s="2">
        <v>531</v>
      </c>
      <c r="I180" s="2">
        <v>521</v>
      </c>
      <c r="J180" s="4" t="s">
        <v>14</v>
      </c>
      <c r="K180">
        <f>Table1[[#This Row],[Delivered Qty]]/Table1[[#This Row],[Ordered Qty]]</f>
        <v>0.98116760828625238</v>
      </c>
      <c r="L180">
        <f>VLOOKUP(Table1[[#This Row],[Supplier ID]],Suppliers!$A$2:$D$6,4,FALSE)</f>
        <v>21</v>
      </c>
      <c r="M180">
        <f>Table1[[#This Row],[Actual Delivery]]-Table1[[#This Row],[Order Date]]-Table1[[#This Row],[std Lead time]]</f>
        <v>-1</v>
      </c>
      <c r="N180">
        <f>IF(AND(Table1[[#This Row],[Status]] = "Delivered", Table1[[#This Row],[Actual Delivery]] &lt;= Table1[[#This Row],[Promised Delivery]],Table1[[#This Row],[FillRate]]&gt;=0.95),1,0)</f>
        <v>1</v>
      </c>
      <c r="O180" t="str">
        <f>VLOOKUP(B180,Products!$A$2:$D$9,3,FALSE)</f>
        <v>Finished Goods</v>
      </c>
    </row>
    <row r="181" spans="1:15" x14ac:dyDescent="0.25">
      <c r="A181" s="15" t="s">
        <v>207</v>
      </c>
      <c r="B181" s="5" t="s">
        <v>33</v>
      </c>
      <c r="C181" s="5" t="s">
        <v>12</v>
      </c>
      <c r="D181" s="5" t="s">
        <v>28</v>
      </c>
      <c r="E181" s="6">
        <v>45525</v>
      </c>
      <c r="F181" s="21">
        <v>45543</v>
      </c>
      <c r="G181" s="21">
        <v>45548</v>
      </c>
      <c r="H181" s="5">
        <v>410</v>
      </c>
      <c r="I181" s="5">
        <v>398</v>
      </c>
      <c r="J181" s="4" t="s">
        <v>14</v>
      </c>
      <c r="K181">
        <f>Table1[[#This Row],[Delivered Qty]]/Table1[[#This Row],[Ordered Qty]]</f>
        <v>0.97073170731707314</v>
      </c>
      <c r="L181">
        <f>VLOOKUP(Table1[[#This Row],[Supplier ID]],Suppliers!$A$2:$D$6,4,FALSE)</f>
        <v>18</v>
      </c>
      <c r="M181">
        <f>Table1[[#This Row],[Actual Delivery]]-Table1[[#This Row],[Order Date]]-Table1[[#This Row],[std Lead time]]</f>
        <v>5</v>
      </c>
      <c r="N181">
        <f>IF(AND(Table1[[#This Row],[Status]] = "Delivered", Table1[[#This Row],[Actual Delivery]] &lt;= Table1[[#This Row],[Promised Delivery]],Table1[[#This Row],[FillRate]]&gt;=0.95),1,0)</f>
        <v>0</v>
      </c>
      <c r="O181" t="str">
        <f>VLOOKUP(B181,Products!$A$2:$D$9,3,FALSE)</f>
        <v>Raw Material</v>
      </c>
    </row>
    <row r="182" spans="1:15" x14ac:dyDescent="0.25">
      <c r="A182" s="14" t="s">
        <v>208</v>
      </c>
      <c r="B182" s="2" t="s">
        <v>16</v>
      </c>
      <c r="C182" s="2" t="s">
        <v>12</v>
      </c>
      <c r="D182" s="2" t="s">
        <v>28</v>
      </c>
      <c r="E182" s="3">
        <v>45529</v>
      </c>
      <c r="F182" s="20">
        <v>45547</v>
      </c>
      <c r="G182" s="20">
        <v>45547</v>
      </c>
      <c r="H182" s="2">
        <v>501</v>
      </c>
      <c r="I182" s="2">
        <v>482</v>
      </c>
      <c r="J182" s="4" t="s">
        <v>14</v>
      </c>
      <c r="K182">
        <f>Table1[[#This Row],[Delivered Qty]]/Table1[[#This Row],[Ordered Qty]]</f>
        <v>0.96207584830339321</v>
      </c>
      <c r="L182">
        <f>VLOOKUP(Table1[[#This Row],[Supplier ID]],Suppliers!$A$2:$D$6,4,FALSE)</f>
        <v>18</v>
      </c>
      <c r="M182">
        <f>Table1[[#This Row],[Actual Delivery]]-Table1[[#This Row],[Order Date]]-Table1[[#This Row],[std Lead time]]</f>
        <v>0</v>
      </c>
      <c r="N182">
        <f>IF(AND(Table1[[#This Row],[Status]] = "Delivered", Table1[[#This Row],[Actual Delivery]] &lt;= Table1[[#This Row],[Promised Delivery]],Table1[[#This Row],[FillRate]]&gt;=0.95),1,0)</f>
        <v>1</v>
      </c>
      <c r="O182" t="str">
        <f>VLOOKUP(B182,Products!$A$2:$D$9,3,FALSE)</f>
        <v>Packaging</v>
      </c>
    </row>
    <row r="183" spans="1:15" x14ac:dyDescent="0.25">
      <c r="A183" s="15" t="s">
        <v>209</v>
      </c>
      <c r="B183" s="5" t="s">
        <v>16</v>
      </c>
      <c r="C183" s="5" t="s">
        <v>31</v>
      </c>
      <c r="D183" s="5" t="s">
        <v>18</v>
      </c>
      <c r="E183" s="6">
        <v>45516</v>
      </c>
      <c r="F183" s="21">
        <v>45521</v>
      </c>
      <c r="G183" s="21">
        <v>45520</v>
      </c>
      <c r="H183" s="5">
        <v>1228</v>
      </c>
      <c r="I183" s="5">
        <v>1058</v>
      </c>
      <c r="J183" s="4" t="s">
        <v>14</v>
      </c>
      <c r="K183">
        <f>Table1[[#This Row],[Delivered Qty]]/Table1[[#This Row],[Ordered Qty]]</f>
        <v>0.8615635179153095</v>
      </c>
      <c r="L183">
        <f>VLOOKUP(Table1[[#This Row],[Supplier ID]],Suppliers!$A$2:$D$6,4,FALSE)</f>
        <v>5</v>
      </c>
      <c r="M183">
        <f>Table1[[#This Row],[Actual Delivery]]-Table1[[#This Row],[Order Date]]-Table1[[#This Row],[std Lead time]]</f>
        <v>-1</v>
      </c>
      <c r="N183">
        <f>IF(AND(Table1[[#This Row],[Status]] = "Delivered", Table1[[#This Row],[Actual Delivery]] &lt;= Table1[[#This Row],[Promised Delivery]],Table1[[#This Row],[FillRate]]&gt;=0.95),1,0)</f>
        <v>0</v>
      </c>
      <c r="O183" t="str">
        <f>VLOOKUP(B183,Products!$A$2:$D$9,3,FALSE)</f>
        <v>Packaging</v>
      </c>
    </row>
    <row r="184" spans="1:15" x14ac:dyDescent="0.25">
      <c r="A184" s="14" t="s">
        <v>210</v>
      </c>
      <c r="B184" s="2" t="s">
        <v>22</v>
      </c>
      <c r="C184" s="2" t="s">
        <v>26</v>
      </c>
      <c r="D184" s="2" t="s">
        <v>23</v>
      </c>
      <c r="E184" s="3">
        <v>45512</v>
      </c>
      <c r="F184" s="20">
        <v>45519</v>
      </c>
      <c r="G184" s="20">
        <v>45517</v>
      </c>
      <c r="H184" s="2">
        <v>1918</v>
      </c>
      <c r="I184" s="2">
        <v>1863</v>
      </c>
      <c r="J184" s="4" t="s">
        <v>14</v>
      </c>
      <c r="K184">
        <f>Table1[[#This Row],[Delivered Qty]]/Table1[[#This Row],[Ordered Qty]]</f>
        <v>0.97132429614181437</v>
      </c>
      <c r="L184">
        <f>VLOOKUP(Table1[[#This Row],[Supplier ID]],Suppliers!$A$2:$D$6,4,FALSE)</f>
        <v>7</v>
      </c>
      <c r="M184">
        <f>Table1[[#This Row],[Actual Delivery]]-Table1[[#This Row],[Order Date]]-Table1[[#This Row],[std Lead time]]</f>
        <v>-2</v>
      </c>
      <c r="N184">
        <f>IF(AND(Table1[[#This Row],[Status]] = "Delivered", Table1[[#This Row],[Actual Delivery]] &lt;= Table1[[#This Row],[Promised Delivery]],Table1[[#This Row],[FillRate]]&gt;=0.95),1,0)</f>
        <v>1</v>
      </c>
      <c r="O184" t="str">
        <f>VLOOKUP(B184,Products!$A$2:$D$9,3,FALSE)</f>
        <v>Finished Goods</v>
      </c>
    </row>
    <row r="185" spans="1:15" x14ac:dyDescent="0.25">
      <c r="A185" s="15" t="s">
        <v>211</v>
      </c>
      <c r="B185" s="5" t="s">
        <v>30</v>
      </c>
      <c r="C185" s="5" t="s">
        <v>31</v>
      </c>
      <c r="D185" s="5" t="s">
        <v>13</v>
      </c>
      <c r="E185" s="6">
        <v>45506</v>
      </c>
      <c r="F185" s="21">
        <v>45511</v>
      </c>
      <c r="G185" s="21">
        <v>45515</v>
      </c>
      <c r="H185" s="5">
        <v>1625</v>
      </c>
      <c r="I185" s="5">
        <v>1597</v>
      </c>
      <c r="J185" s="4" t="s">
        <v>14</v>
      </c>
      <c r="K185">
        <f>Table1[[#This Row],[Delivered Qty]]/Table1[[#This Row],[Ordered Qty]]</f>
        <v>0.98276923076923073</v>
      </c>
      <c r="L185">
        <f>VLOOKUP(Table1[[#This Row],[Supplier ID]],Suppliers!$A$2:$D$6,4,FALSE)</f>
        <v>5</v>
      </c>
      <c r="M185">
        <f>Table1[[#This Row],[Actual Delivery]]-Table1[[#This Row],[Order Date]]-Table1[[#This Row],[std Lead time]]</f>
        <v>4</v>
      </c>
      <c r="N185">
        <f>IF(AND(Table1[[#This Row],[Status]] = "Delivered", Table1[[#This Row],[Actual Delivery]] &lt;= Table1[[#This Row],[Promised Delivery]],Table1[[#This Row],[FillRate]]&gt;=0.95),1,0)</f>
        <v>0</v>
      </c>
      <c r="O185" t="str">
        <f>VLOOKUP(B185,Products!$A$2:$D$9,3,FALSE)</f>
        <v>Finished Goods</v>
      </c>
    </row>
    <row r="186" spans="1:15" x14ac:dyDescent="0.25">
      <c r="A186" s="14" t="s">
        <v>212</v>
      </c>
      <c r="B186" s="2" t="s">
        <v>44</v>
      </c>
      <c r="C186" s="2" t="s">
        <v>57</v>
      </c>
      <c r="D186" s="2" t="s">
        <v>28</v>
      </c>
      <c r="E186" s="3">
        <v>45507</v>
      </c>
      <c r="F186" s="20">
        <v>45528</v>
      </c>
      <c r="G186" s="20">
        <v>45526</v>
      </c>
      <c r="H186" s="2">
        <v>1323</v>
      </c>
      <c r="I186" s="2">
        <v>1315</v>
      </c>
      <c r="J186" s="4" t="s">
        <v>14</v>
      </c>
      <c r="K186">
        <f>Table1[[#This Row],[Delivered Qty]]/Table1[[#This Row],[Ordered Qty]]</f>
        <v>0.99395313681027964</v>
      </c>
      <c r="L186">
        <f>VLOOKUP(Table1[[#This Row],[Supplier ID]],Suppliers!$A$2:$D$6,4,FALSE)</f>
        <v>21</v>
      </c>
      <c r="M186">
        <f>Table1[[#This Row],[Actual Delivery]]-Table1[[#This Row],[Order Date]]-Table1[[#This Row],[std Lead time]]</f>
        <v>-2</v>
      </c>
      <c r="N186">
        <f>IF(AND(Table1[[#This Row],[Status]] = "Delivered", Table1[[#This Row],[Actual Delivery]] &lt;= Table1[[#This Row],[Promised Delivery]],Table1[[#This Row],[FillRate]]&gt;=0.95),1,0)</f>
        <v>1</v>
      </c>
      <c r="O186" t="str">
        <f>VLOOKUP(B186,Products!$A$2:$D$9,3,FALSE)</f>
        <v>Finished Goods</v>
      </c>
    </row>
    <row r="187" spans="1:15" x14ac:dyDescent="0.25">
      <c r="A187" s="15" t="s">
        <v>213</v>
      </c>
      <c r="B187" s="5" t="s">
        <v>22</v>
      </c>
      <c r="C187" s="5" t="s">
        <v>26</v>
      </c>
      <c r="D187" s="5" t="s">
        <v>23</v>
      </c>
      <c r="E187" s="6">
        <v>45512</v>
      </c>
      <c r="F187" s="21">
        <v>45519</v>
      </c>
      <c r="G187" s="21">
        <v>45517</v>
      </c>
      <c r="H187" s="5">
        <v>1059</v>
      </c>
      <c r="I187" s="5">
        <v>1020</v>
      </c>
      <c r="J187" s="4" t="s">
        <v>14</v>
      </c>
      <c r="K187">
        <f>Table1[[#This Row],[Delivered Qty]]/Table1[[#This Row],[Ordered Qty]]</f>
        <v>0.96317280453257792</v>
      </c>
      <c r="L187">
        <f>VLOOKUP(Table1[[#This Row],[Supplier ID]],Suppliers!$A$2:$D$6,4,FALSE)</f>
        <v>7</v>
      </c>
      <c r="M187">
        <f>Table1[[#This Row],[Actual Delivery]]-Table1[[#This Row],[Order Date]]-Table1[[#This Row],[std Lead time]]</f>
        <v>-2</v>
      </c>
      <c r="N187">
        <f>IF(AND(Table1[[#This Row],[Status]] = "Delivered", Table1[[#This Row],[Actual Delivery]] &lt;= Table1[[#This Row],[Promised Delivery]],Table1[[#This Row],[FillRate]]&gt;=0.95),1,0)</f>
        <v>1</v>
      </c>
      <c r="O187" t="str">
        <f>VLOOKUP(B187,Products!$A$2:$D$9,3,FALSE)</f>
        <v>Finished Goods</v>
      </c>
    </row>
    <row r="188" spans="1:15" x14ac:dyDescent="0.25">
      <c r="A188" s="14" t="s">
        <v>214</v>
      </c>
      <c r="B188" s="2" t="s">
        <v>44</v>
      </c>
      <c r="C188" s="2" t="s">
        <v>26</v>
      </c>
      <c r="D188" s="2" t="s">
        <v>28</v>
      </c>
      <c r="E188" s="3">
        <v>45531</v>
      </c>
      <c r="F188" s="20">
        <v>45538</v>
      </c>
      <c r="G188" s="20">
        <v>45536</v>
      </c>
      <c r="H188" s="2">
        <v>1494</v>
      </c>
      <c r="I188" s="2">
        <v>1421</v>
      </c>
      <c r="J188" s="4" t="s">
        <v>14</v>
      </c>
      <c r="K188">
        <f>Table1[[#This Row],[Delivered Qty]]/Table1[[#This Row],[Ordered Qty]]</f>
        <v>0.95113788487282458</v>
      </c>
      <c r="L188">
        <f>VLOOKUP(Table1[[#This Row],[Supplier ID]],Suppliers!$A$2:$D$6,4,FALSE)</f>
        <v>7</v>
      </c>
      <c r="M188">
        <f>Table1[[#This Row],[Actual Delivery]]-Table1[[#This Row],[Order Date]]-Table1[[#This Row],[std Lead time]]</f>
        <v>-2</v>
      </c>
      <c r="N188">
        <f>IF(AND(Table1[[#This Row],[Status]] = "Delivered", Table1[[#This Row],[Actual Delivery]] &lt;= Table1[[#This Row],[Promised Delivery]],Table1[[#This Row],[FillRate]]&gt;=0.95),1,0)</f>
        <v>1</v>
      </c>
      <c r="O188" t="str">
        <f>VLOOKUP(B188,Products!$A$2:$D$9,3,FALSE)</f>
        <v>Finished Goods</v>
      </c>
    </row>
    <row r="189" spans="1:15" x14ac:dyDescent="0.25">
      <c r="A189" s="15" t="s">
        <v>215</v>
      </c>
      <c r="B189" s="5" t="s">
        <v>20</v>
      </c>
      <c r="C189" s="5" t="s">
        <v>31</v>
      </c>
      <c r="D189" s="5" t="s">
        <v>23</v>
      </c>
      <c r="E189" s="6">
        <v>45518</v>
      </c>
      <c r="F189" s="21">
        <v>45523</v>
      </c>
      <c r="G189" s="21">
        <v>45521</v>
      </c>
      <c r="H189" s="5">
        <v>1368</v>
      </c>
      <c r="I189" s="5">
        <v>1288</v>
      </c>
      <c r="J189" s="4" t="s">
        <v>14</v>
      </c>
      <c r="K189">
        <f>Table1[[#This Row],[Delivered Qty]]/Table1[[#This Row],[Ordered Qty]]</f>
        <v>0.94152046783625731</v>
      </c>
      <c r="L189">
        <f>VLOOKUP(Table1[[#This Row],[Supplier ID]],Suppliers!$A$2:$D$6,4,FALSE)</f>
        <v>5</v>
      </c>
      <c r="M189">
        <f>Table1[[#This Row],[Actual Delivery]]-Table1[[#This Row],[Order Date]]-Table1[[#This Row],[std Lead time]]</f>
        <v>-2</v>
      </c>
      <c r="N189">
        <f>IF(AND(Table1[[#This Row],[Status]] = "Delivered", Table1[[#This Row],[Actual Delivery]] &lt;= Table1[[#This Row],[Promised Delivery]],Table1[[#This Row],[FillRate]]&gt;=0.95),1,0)</f>
        <v>0</v>
      </c>
      <c r="O189" t="str">
        <f>VLOOKUP(B189,Products!$A$2:$D$9,3,FALSE)</f>
        <v>Raw Material</v>
      </c>
    </row>
    <row r="190" spans="1:15" x14ac:dyDescent="0.25">
      <c r="A190" s="14" t="s">
        <v>216</v>
      </c>
      <c r="B190" s="2" t="s">
        <v>16</v>
      </c>
      <c r="C190" s="2" t="s">
        <v>17</v>
      </c>
      <c r="D190" s="2" t="s">
        <v>23</v>
      </c>
      <c r="E190" s="3">
        <v>45507</v>
      </c>
      <c r="F190" s="20">
        <v>45513</v>
      </c>
      <c r="G190" s="20">
        <v>45512</v>
      </c>
      <c r="H190" s="2">
        <v>289</v>
      </c>
      <c r="I190" s="2">
        <v>265</v>
      </c>
      <c r="J190" s="4" t="s">
        <v>14</v>
      </c>
      <c r="K190">
        <f>Table1[[#This Row],[Delivered Qty]]/Table1[[#This Row],[Ordered Qty]]</f>
        <v>0.91695501730103801</v>
      </c>
      <c r="L190">
        <f>VLOOKUP(Table1[[#This Row],[Supplier ID]],Suppliers!$A$2:$D$6,4,FALSE)</f>
        <v>6</v>
      </c>
      <c r="M190">
        <f>Table1[[#This Row],[Actual Delivery]]-Table1[[#This Row],[Order Date]]-Table1[[#This Row],[std Lead time]]</f>
        <v>-1</v>
      </c>
      <c r="N190">
        <f>IF(AND(Table1[[#This Row],[Status]] = "Delivered", Table1[[#This Row],[Actual Delivery]] &lt;= Table1[[#This Row],[Promised Delivery]],Table1[[#This Row],[FillRate]]&gt;=0.95),1,0)</f>
        <v>0</v>
      </c>
      <c r="O190" t="str">
        <f>VLOOKUP(B190,Products!$A$2:$D$9,3,FALSE)</f>
        <v>Packaging</v>
      </c>
    </row>
    <row r="191" spans="1:15" x14ac:dyDescent="0.25">
      <c r="A191" s="15" t="s">
        <v>217</v>
      </c>
      <c r="B191" s="5" t="s">
        <v>30</v>
      </c>
      <c r="C191" s="5" t="s">
        <v>12</v>
      </c>
      <c r="D191" s="5" t="s">
        <v>28</v>
      </c>
      <c r="E191" s="6">
        <v>45516</v>
      </c>
      <c r="F191" s="21">
        <v>45534</v>
      </c>
      <c r="G191" s="21">
        <v>45534</v>
      </c>
      <c r="H191" s="5">
        <v>1545</v>
      </c>
      <c r="I191" s="5">
        <v>1487</v>
      </c>
      <c r="J191" s="4" t="s">
        <v>14</v>
      </c>
      <c r="K191">
        <f>Table1[[#This Row],[Delivered Qty]]/Table1[[#This Row],[Ordered Qty]]</f>
        <v>0.96245954692556634</v>
      </c>
      <c r="L191">
        <f>VLOOKUP(Table1[[#This Row],[Supplier ID]],Suppliers!$A$2:$D$6,4,FALSE)</f>
        <v>18</v>
      </c>
      <c r="M191">
        <f>Table1[[#This Row],[Actual Delivery]]-Table1[[#This Row],[Order Date]]-Table1[[#This Row],[std Lead time]]</f>
        <v>0</v>
      </c>
      <c r="N191">
        <f>IF(AND(Table1[[#This Row],[Status]] = "Delivered", Table1[[#This Row],[Actual Delivery]] &lt;= Table1[[#This Row],[Promised Delivery]],Table1[[#This Row],[FillRate]]&gt;=0.95),1,0)</f>
        <v>1</v>
      </c>
      <c r="O191" t="str">
        <f>VLOOKUP(B191,Products!$A$2:$D$9,3,FALSE)</f>
        <v>Finished Goods</v>
      </c>
    </row>
    <row r="192" spans="1:15" x14ac:dyDescent="0.25">
      <c r="A192" s="14" t="s">
        <v>218</v>
      </c>
      <c r="B192" s="2" t="s">
        <v>30</v>
      </c>
      <c r="C192" s="2" t="s">
        <v>31</v>
      </c>
      <c r="D192" s="2" t="s">
        <v>28</v>
      </c>
      <c r="E192" s="3">
        <v>45516</v>
      </c>
      <c r="F192" s="20">
        <v>45521</v>
      </c>
      <c r="G192" s="20">
        <v>45523</v>
      </c>
      <c r="H192" s="2">
        <v>1900</v>
      </c>
      <c r="I192" s="2">
        <v>1858</v>
      </c>
      <c r="J192" s="4" t="s">
        <v>14</v>
      </c>
      <c r="K192">
        <f>Table1[[#This Row],[Delivered Qty]]/Table1[[#This Row],[Ordered Qty]]</f>
        <v>0.97789473684210526</v>
      </c>
      <c r="L192">
        <f>VLOOKUP(Table1[[#This Row],[Supplier ID]],Suppliers!$A$2:$D$6,4,FALSE)</f>
        <v>5</v>
      </c>
      <c r="M192">
        <f>Table1[[#This Row],[Actual Delivery]]-Table1[[#This Row],[Order Date]]-Table1[[#This Row],[std Lead time]]</f>
        <v>2</v>
      </c>
      <c r="N192">
        <f>IF(AND(Table1[[#This Row],[Status]] = "Delivered", Table1[[#This Row],[Actual Delivery]] &lt;= Table1[[#This Row],[Promised Delivery]],Table1[[#This Row],[FillRate]]&gt;=0.95),1,0)</f>
        <v>0</v>
      </c>
      <c r="O192" t="str">
        <f>VLOOKUP(B192,Products!$A$2:$D$9,3,FALSE)</f>
        <v>Finished Goods</v>
      </c>
    </row>
    <row r="193" spans="1:15" x14ac:dyDescent="0.25">
      <c r="A193" s="15" t="s">
        <v>219</v>
      </c>
      <c r="B193" s="5" t="s">
        <v>44</v>
      </c>
      <c r="C193" s="5" t="s">
        <v>57</v>
      </c>
      <c r="D193" s="5" t="s">
        <v>13</v>
      </c>
      <c r="E193" s="6">
        <v>45530</v>
      </c>
      <c r="F193" s="21">
        <v>45551</v>
      </c>
      <c r="G193" s="21">
        <v>45550</v>
      </c>
      <c r="H193" s="5">
        <v>275</v>
      </c>
      <c r="I193" s="5">
        <v>255</v>
      </c>
      <c r="J193" s="4" t="s">
        <v>14</v>
      </c>
      <c r="K193">
        <f>Table1[[#This Row],[Delivered Qty]]/Table1[[#This Row],[Ordered Qty]]</f>
        <v>0.92727272727272725</v>
      </c>
      <c r="L193">
        <f>VLOOKUP(Table1[[#This Row],[Supplier ID]],Suppliers!$A$2:$D$6,4,FALSE)</f>
        <v>21</v>
      </c>
      <c r="M193">
        <f>Table1[[#This Row],[Actual Delivery]]-Table1[[#This Row],[Order Date]]-Table1[[#This Row],[std Lead time]]</f>
        <v>-1</v>
      </c>
      <c r="N193">
        <f>IF(AND(Table1[[#This Row],[Status]] = "Delivered", Table1[[#This Row],[Actual Delivery]] &lt;= Table1[[#This Row],[Promised Delivery]],Table1[[#This Row],[FillRate]]&gt;=0.95),1,0)</f>
        <v>0</v>
      </c>
      <c r="O193" t="str">
        <f>VLOOKUP(B193,Products!$A$2:$D$9,3,FALSE)</f>
        <v>Finished Goods</v>
      </c>
    </row>
    <row r="194" spans="1:15" x14ac:dyDescent="0.25">
      <c r="A194" s="14" t="s">
        <v>220</v>
      </c>
      <c r="B194" s="2" t="s">
        <v>11</v>
      </c>
      <c r="C194" s="2" t="s">
        <v>31</v>
      </c>
      <c r="D194" s="2" t="s">
        <v>28</v>
      </c>
      <c r="E194" s="3">
        <v>45515</v>
      </c>
      <c r="F194" s="20">
        <v>45520</v>
      </c>
      <c r="G194" s="20">
        <v>45520</v>
      </c>
      <c r="H194" s="2">
        <v>1169</v>
      </c>
      <c r="I194" s="2">
        <v>976</v>
      </c>
      <c r="J194" s="4" t="s">
        <v>14</v>
      </c>
      <c r="K194">
        <f>Table1[[#This Row],[Delivered Qty]]/Table1[[#This Row],[Ordered Qty]]</f>
        <v>0.83490162532078704</v>
      </c>
      <c r="L194">
        <f>VLOOKUP(Table1[[#This Row],[Supplier ID]],Suppliers!$A$2:$D$6,4,FALSE)</f>
        <v>5</v>
      </c>
      <c r="M194">
        <f>Table1[[#This Row],[Actual Delivery]]-Table1[[#This Row],[Order Date]]-Table1[[#This Row],[std Lead time]]</f>
        <v>0</v>
      </c>
      <c r="N194">
        <f>IF(AND(Table1[[#This Row],[Status]] = "Delivered", Table1[[#This Row],[Actual Delivery]] &lt;= Table1[[#This Row],[Promised Delivery]],Table1[[#This Row],[FillRate]]&gt;=0.95),1,0)</f>
        <v>0</v>
      </c>
      <c r="O194" t="str">
        <f>VLOOKUP(B194,Products!$A$2:$D$9,3,FALSE)</f>
        <v>Packaging</v>
      </c>
    </row>
    <row r="195" spans="1:15" x14ac:dyDescent="0.25">
      <c r="A195" s="15" t="s">
        <v>221</v>
      </c>
      <c r="B195" s="5" t="s">
        <v>20</v>
      </c>
      <c r="C195" s="5" t="s">
        <v>12</v>
      </c>
      <c r="D195" s="5" t="s">
        <v>23</v>
      </c>
      <c r="E195" s="6">
        <v>45532</v>
      </c>
      <c r="F195" s="21">
        <v>45550</v>
      </c>
      <c r="G195" s="21">
        <v>45553</v>
      </c>
      <c r="H195" s="5">
        <v>759</v>
      </c>
      <c r="I195" s="5">
        <v>692</v>
      </c>
      <c r="J195" s="4" t="s">
        <v>14</v>
      </c>
      <c r="K195">
        <f>Table1[[#This Row],[Delivered Qty]]/Table1[[#This Row],[Ordered Qty]]</f>
        <v>0.91172595520421607</v>
      </c>
      <c r="L195">
        <f>VLOOKUP(Table1[[#This Row],[Supplier ID]],Suppliers!$A$2:$D$6,4,FALSE)</f>
        <v>18</v>
      </c>
      <c r="M195">
        <f>Table1[[#This Row],[Actual Delivery]]-Table1[[#This Row],[Order Date]]-Table1[[#This Row],[std Lead time]]</f>
        <v>3</v>
      </c>
      <c r="N195">
        <f>IF(AND(Table1[[#This Row],[Status]] = "Delivered", Table1[[#This Row],[Actual Delivery]] &lt;= Table1[[#This Row],[Promised Delivery]],Table1[[#This Row],[FillRate]]&gt;=0.95),1,0)</f>
        <v>0</v>
      </c>
      <c r="O195" t="str">
        <f>VLOOKUP(B195,Products!$A$2:$D$9,3,FALSE)</f>
        <v>Raw Material</v>
      </c>
    </row>
    <row r="196" spans="1:15" x14ac:dyDescent="0.25">
      <c r="A196" s="14" t="s">
        <v>222</v>
      </c>
      <c r="B196" s="2" t="s">
        <v>30</v>
      </c>
      <c r="C196" s="2" t="s">
        <v>57</v>
      </c>
      <c r="D196" s="2" t="s">
        <v>18</v>
      </c>
      <c r="E196" s="3">
        <v>45528</v>
      </c>
      <c r="F196" s="20">
        <v>45549</v>
      </c>
      <c r="G196" s="20">
        <v>45553</v>
      </c>
      <c r="H196" s="2">
        <v>894</v>
      </c>
      <c r="I196" s="2">
        <v>891</v>
      </c>
      <c r="J196" s="4" t="s">
        <v>14</v>
      </c>
      <c r="K196">
        <f>Table1[[#This Row],[Delivered Qty]]/Table1[[#This Row],[Ordered Qty]]</f>
        <v>0.99664429530201337</v>
      </c>
      <c r="L196">
        <f>VLOOKUP(Table1[[#This Row],[Supplier ID]],Suppliers!$A$2:$D$6,4,FALSE)</f>
        <v>21</v>
      </c>
      <c r="M196">
        <f>Table1[[#This Row],[Actual Delivery]]-Table1[[#This Row],[Order Date]]-Table1[[#This Row],[std Lead time]]</f>
        <v>4</v>
      </c>
      <c r="N196">
        <f>IF(AND(Table1[[#This Row],[Status]] = "Delivered", Table1[[#This Row],[Actual Delivery]] &lt;= Table1[[#This Row],[Promised Delivery]],Table1[[#This Row],[FillRate]]&gt;=0.95),1,0)</f>
        <v>0</v>
      </c>
      <c r="O196" t="str">
        <f>VLOOKUP(B196,Products!$A$2:$D$9,3,FALSE)</f>
        <v>Finished Goods</v>
      </c>
    </row>
    <row r="197" spans="1:15" x14ac:dyDescent="0.25">
      <c r="A197" s="15" t="s">
        <v>223</v>
      </c>
      <c r="B197" s="5" t="s">
        <v>44</v>
      </c>
      <c r="C197" s="5" t="s">
        <v>57</v>
      </c>
      <c r="D197" s="5" t="s">
        <v>23</v>
      </c>
      <c r="E197" s="6">
        <v>45530</v>
      </c>
      <c r="F197" s="21">
        <v>45551</v>
      </c>
      <c r="G197" s="21">
        <v>45557</v>
      </c>
      <c r="H197" s="5">
        <v>1069</v>
      </c>
      <c r="I197" s="5">
        <v>970</v>
      </c>
      <c r="J197" s="4" t="s">
        <v>14</v>
      </c>
      <c r="K197">
        <f>Table1[[#This Row],[Delivered Qty]]/Table1[[#This Row],[Ordered Qty]]</f>
        <v>0.90739008419083256</v>
      </c>
      <c r="L197">
        <f>VLOOKUP(Table1[[#This Row],[Supplier ID]],Suppliers!$A$2:$D$6,4,FALSE)</f>
        <v>21</v>
      </c>
      <c r="M197">
        <f>Table1[[#This Row],[Actual Delivery]]-Table1[[#This Row],[Order Date]]-Table1[[#This Row],[std Lead time]]</f>
        <v>6</v>
      </c>
      <c r="N197">
        <f>IF(AND(Table1[[#This Row],[Status]] = "Delivered", Table1[[#This Row],[Actual Delivery]] &lt;= Table1[[#This Row],[Promised Delivery]],Table1[[#This Row],[FillRate]]&gt;=0.95),1,0)</f>
        <v>0</v>
      </c>
      <c r="O197" t="str">
        <f>VLOOKUP(B197,Products!$A$2:$D$9,3,FALSE)</f>
        <v>Finished Goods</v>
      </c>
    </row>
    <row r="198" spans="1:15" x14ac:dyDescent="0.25">
      <c r="A198" s="14" t="s">
        <v>224</v>
      </c>
      <c r="B198" s="2" t="s">
        <v>33</v>
      </c>
      <c r="C198" s="2" t="s">
        <v>17</v>
      </c>
      <c r="D198" s="2" t="s">
        <v>23</v>
      </c>
      <c r="E198" s="3">
        <v>45515</v>
      </c>
      <c r="F198" s="20">
        <v>45521</v>
      </c>
      <c r="G198" s="20">
        <v>45521</v>
      </c>
      <c r="H198" s="2">
        <v>805</v>
      </c>
      <c r="I198" s="2">
        <v>749</v>
      </c>
      <c r="J198" s="4" t="s">
        <v>14</v>
      </c>
      <c r="K198">
        <f>Table1[[#This Row],[Delivered Qty]]/Table1[[#This Row],[Ordered Qty]]</f>
        <v>0.93043478260869561</v>
      </c>
      <c r="L198">
        <f>VLOOKUP(Table1[[#This Row],[Supplier ID]],Suppliers!$A$2:$D$6,4,FALSE)</f>
        <v>6</v>
      </c>
      <c r="M198">
        <f>Table1[[#This Row],[Actual Delivery]]-Table1[[#This Row],[Order Date]]-Table1[[#This Row],[std Lead time]]</f>
        <v>0</v>
      </c>
      <c r="N198">
        <f>IF(AND(Table1[[#This Row],[Status]] = "Delivered", Table1[[#This Row],[Actual Delivery]] &lt;= Table1[[#This Row],[Promised Delivery]],Table1[[#This Row],[FillRate]]&gt;=0.95),1,0)</f>
        <v>0</v>
      </c>
      <c r="O198" t="str">
        <f>VLOOKUP(B198,Products!$A$2:$D$9,3,FALSE)</f>
        <v>Raw Material</v>
      </c>
    </row>
    <row r="199" spans="1:15" x14ac:dyDescent="0.25">
      <c r="A199" s="15" t="s">
        <v>225</v>
      </c>
      <c r="B199" s="5" t="s">
        <v>22</v>
      </c>
      <c r="C199" s="5" t="s">
        <v>31</v>
      </c>
      <c r="D199" s="5" t="s">
        <v>18</v>
      </c>
      <c r="E199" s="6">
        <v>45516</v>
      </c>
      <c r="F199" s="21">
        <v>45521</v>
      </c>
      <c r="G199" s="21">
        <v>45520</v>
      </c>
      <c r="H199" s="5">
        <v>1459</v>
      </c>
      <c r="I199" s="5">
        <v>1458</v>
      </c>
      <c r="J199" s="4" t="s">
        <v>14</v>
      </c>
      <c r="K199">
        <f>Table1[[#This Row],[Delivered Qty]]/Table1[[#This Row],[Ordered Qty]]</f>
        <v>0.99931459904043862</v>
      </c>
      <c r="L199">
        <f>VLOOKUP(Table1[[#This Row],[Supplier ID]],Suppliers!$A$2:$D$6,4,FALSE)</f>
        <v>5</v>
      </c>
      <c r="M199">
        <f>Table1[[#This Row],[Actual Delivery]]-Table1[[#This Row],[Order Date]]-Table1[[#This Row],[std Lead time]]</f>
        <v>-1</v>
      </c>
      <c r="N199">
        <f>IF(AND(Table1[[#This Row],[Status]] = "Delivered", Table1[[#This Row],[Actual Delivery]] &lt;= Table1[[#This Row],[Promised Delivery]],Table1[[#This Row],[FillRate]]&gt;=0.95),1,0)</f>
        <v>1</v>
      </c>
      <c r="O199" t="str">
        <f>VLOOKUP(B199,Products!$A$2:$D$9,3,FALSE)</f>
        <v>Finished Goods</v>
      </c>
    </row>
    <row r="200" spans="1:15" x14ac:dyDescent="0.25">
      <c r="A200" s="14" t="s">
        <v>226</v>
      </c>
      <c r="B200" s="2" t="s">
        <v>37</v>
      </c>
      <c r="C200" s="2" t="s">
        <v>26</v>
      </c>
      <c r="D200" s="2" t="s">
        <v>28</v>
      </c>
      <c r="E200" s="3">
        <v>45526</v>
      </c>
      <c r="F200" s="20">
        <v>45533</v>
      </c>
      <c r="G200" s="20">
        <v>45533</v>
      </c>
      <c r="H200" s="2">
        <v>1591</v>
      </c>
      <c r="I200" s="2">
        <v>1457</v>
      </c>
      <c r="J200" s="4" t="s">
        <v>14</v>
      </c>
      <c r="K200">
        <f>Table1[[#This Row],[Delivered Qty]]/Table1[[#This Row],[Ordered Qty]]</f>
        <v>0.91577624135763669</v>
      </c>
      <c r="L200">
        <f>VLOOKUP(Table1[[#This Row],[Supplier ID]],Suppliers!$A$2:$D$6,4,FALSE)</f>
        <v>7</v>
      </c>
      <c r="M200">
        <f>Table1[[#This Row],[Actual Delivery]]-Table1[[#This Row],[Order Date]]-Table1[[#This Row],[std Lead time]]</f>
        <v>0</v>
      </c>
      <c r="N200">
        <f>IF(AND(Table1[[#This Row],[Status]] = "Delivered", Table1[[#This Row],[Actual Delivery]] &lt;= Table1[[#This Row],[Promised Delivery]],Table1[[#This Row],[FillRate]]&gt;=0.95),1,0)</f>
        <v>0</v>
      </c>
      <c r="O200" t="str">
        <f>VLOOKUP(B200,Products!$A$2:$D$9,3,FALSE)</f>
        <v>Raw Material</v>
      </c>
    </row>
    <row r="201" spans="1:15" x14ac:dyDescent="0.25">
      <c r="A201" s="15" t="s">
        <v>227</v>
      </c>
      <c r="B201" s="5" t="s">
        <v>11</v>
      </c>
      <c r="C201" s="5" t="s">
        <v>31</v>
      </c>
      <c r="D201" s="5" t="s">
        <v>18</v>
      </c>
      <c r="E201" s="6">
        <v>45506</v>
      </c>
      <c r="F201" s="21">
        <v>45511</v>
      </c>
      <c r="G201" s="21">
        <v>45511</v>
      </c>
      <c r="H201" s="5">
        <v>950</v>
      </c>
      <c r="I201" s="5">
        <v>816</v>
      </c>
      <c r="J201" s="4" t="s">
        <v>14</v>
      </c>
      <c r="K201">
        <f>Table1[[#This Row],[Delivered Qty]]/Table1[[#This Row],[Ordered Qty]]</f>
        <v>0.85894736842105268</v>
      </c>
      <c r="L201">
        <f>VLOOKUP(Table1[[#This Row],[Supplier ID]],Suppliers!$A$2:$D$6,4,FALSE)</f>
        <v>5</v>
      </c>
      <c r="M201">
        <f>Table1[[#This Row],[Actual Delivery]]-Table1[[#This Row],[Order Date]]-Table1[[#This Row],[std Lead time]]</f>
        <v>0</v>
      </c>
      <c r="N201">
        <f>IF(AND(Table1[[#This Row],[Status]] = "Delivered", Table1[[#This Row],[Actual Delivery]] &lt;= Table1[[#This Row],[Promised Delivery]],Table1[[#This Row],[FillRate]]&gt;=0.95),1,0)</f>
        <v>0</v>
      </c>
      <c r="O201" t="str">
        <f>VLOOKUP(B201,Products!$A$2:$D$9,3,FALSE)</f>
        <v>Packaging</v>
      </c>
    </row>
    <row r="202" spans="1:15" x14ac:dyDescent="0.25">
      <c r="A202" s="14" t="s">
        <v>228</v>
      </c>
      <c r="B202" s="2" t="s">
        <v>11</v>
      </c>
      <c r="C202" s="2" t="s">
        <v>17</v>
      </c>
      <c r="D202" s="2" t="s">
        <v>13</v>
      </c>
      <c r="E202" s="3">
        <v>45526</v>
      </c>
      <c r="F202" s="20">
        <v>45532</v>
      </c>
      <c r="G202" s="20">
        <v>45535</v>
      </c>
      <c r="H202" s="2">
        <v>1109</v>
      </c>
      <c r="I202" s="2">
        <v>1051</v>
      </c>
      <c r="J202" s="4" t="s">
        <v>14</v>
      </c>
      <c r="K202">
        <f>Table1[[#This Row],[Delivered Qty]]/Table1[[#This Row],[Ordered Qty]]</f>
        <v>0.94770063119927861</v>
      </c>
      <c r="L202">
        <f>VLOOKUP(Table1[[#This Row],[Supplier ID]],Suppliers!$A$2:$D$6,4,FALSE)</f>
        <v>6</v>
      </c>
      <c r="M202">
        <f>Table1[[#This Row],[Actual Delivery]]-Table1[[#This Row],[Order Date]]-Table1[[#This Row],[std Lead time]]</f>
        <v>3</v>
      </c>
      <c r="N202">
        <f>IF(AND(Table1[[#This Row],[Status]] = "Delivered", Table1[[#This Row],[Actual Delivery]] &lt;= Table1[[#This Row],[Promised Delivery]],Table1[[#This Row],[FillRate]]&gt;=0.95),1,0)</f>
        <v>0</v>
      </c>
      <c r="O202" t="str">
        <f>VLOOKUP(B202,Products!$A$2:$D$9,3,FALSE)</f>
        <v>Packaging</v>
      </c>
    </row>
    <row r="203" spans="1:15" x14ac:dyDescent="0.25">
      <c r="A203" s="15" t="s">
        <v>229</v>
      </c>
      <c r="B203" s="5" t="s">
        <v>33</v>
      </c>
      <c r="C203" s="5" t="s">
        <v>17</v>
      </c>
      <c r="D203" s="5" t="s">
        <v>23</v>
      </c>
      <c r="E203" s="6">
        <v>45517</v>
      </c>
      <c r="F203" s="21">
        <v>45523</v>
      </c>
      <c r="G203" s="21">
        <v>45521</v>
      </c>
      <c r="H203" s="5">
        <v>432</v>
      </c>
      <c r="I203" s="5">
        <v>389</v>
      </c>
      <c r="J203" s="4" t="s">
        <v>14</v>
      </c>
      <c r="K203">
        <f>Table1[[#This Row],[Delivered Qty]]/Table1[[#This Row],[Ordered Qty]]</f>
        <v>0.90046296296296291</v>
      </c>
      <c r="L203">
        <f>VLOOKUP(Table1[[#This Row],[Supplier ID]],Suppliers!$A$2:$D$6,4,FALSE)</f>
        <v>6</v>
      </c>
      <c r="M203">
        <f>Table1[[#This Row],[Actual Delivery]]-Table1[[#This Row],[Order Date]]-Table1[[#This Row],[std Lead time]]</f>
        <v>-2</v>
      </c>
      <c r="N203">
        <f>IF(AND(Table1[[#This Row],[Status]] = "Delivered", Table1[[#This Row],[Actual Delivery]] &lt;= Table1[[#This Row],[Promised Delivery]],Table1[[#This Row],[FillRate]]&gt;=0.95),1,0)</f>
        <v>0</v>
      </c>
      <c r="O203" t="str">
        <f>VLOOKUP(B203,Products!$A$2:$D$9,3,FALSE)</f>
        <v>Raw Material</v>
      </c>
    </row>
    <row r="204" spans="1:15" x14ac:dyDescent="0.25">
      <c r="A204" s="14" t="s">
        <v>230</v>
      </c>
      <c r="B204" s="2" t="s">
        <v>33</v>
      </c>
      <c r="C204" s="2" t="s">
        <v>57</v>
      </c>
      <c r="D204" s="2" t="s">
        <v>18</v>
      </c>
      <c r="E204" s="3">
        <v>45522</v>
      </c>
      <c r="F204" s="20">
        <v>45543</v>
      </c>
      <c r="G204" s="20">
        <v>45542</v>
      </c>
      <c r="H204" s="2">
        <v>1641</v>
      </c>
      <c r="I204" s="2">
        <v>1550</v>
      </c>
      <c r="J204" s="4" t="s">
        <v>14</v>
      </c>
      <c r="K204">
        <f>Table1[[#This Row],[Delivered Qty]]/Table1[[#This Row],[Ordered Qty]]</f>
        <v>0.94454600853138326</v>
      </c>
      <c r="L204">
        <f>VLOOKUP(Table1[[#This Row],[Supplier ID]],Suppliers!$A$2:$D$6,4,FALSE)</f>
        <v>21</v>
      </c>
      <c r="M204">
        <f>Table1[[#This Row],[Actual Delivery]]-Table1[[#This Row],[Order Date]]-Table1[[#This Row],[std Lead time]]</f>
        <v>-1</v>
      </c>
      <c r="N204">
        <f>IF(AND(Table1[[#This Row],[Status]] = "Delivered", Table1[[#This Row],[Actual Delivery]] &lt;= Table1[[#This Row],[Promised Delivery]],Table1[[#This Row],[FillRate]]&gt;=0.95),1,0)</f>
        <v>0</v>
      </c>
      <c r="O204" t="str">
        <f>VLOOKUP(B204,Products!$A$2:$D$9,3,FALSE)</f>
        <v>Raw Material</v>
      </c>
    </row>
    <row r="205" spans="1:15" x14ac:dyDescent="0.25">
      <c r="A205" s="15" t="s">
        <v>231</v>
      </c>
      <c r="B205" s="5" t="s">
        <v>37</v>
      </c>
      <c r="C205" s="5" t="s">
        <v>57</v>
      </c>
      <c r="D205" s="5" t="s">
        <v>13</v>
      </c>
      <c r="E205" s="6">
        <v>45508</v>
      </c>
      <c r="F205" s="21">
        <v>45529</v>
      </c>
      <c r="G205" s="21">
        <v>45533</v>
      </c>
      <c r="H205" s="5">
        <v>553</v>
      </c>
      <c r="I205" s="5">
        <v>547</v>
      </c>
      <c r="J205" s="4" t="s">
        <v>14</v>
      </c>
      <c r="K205">
        <f>Table1[[#This Row],[Delivered Qty]]/Table1[[#This Row],[Ordered Qty]]</f>
        <v>0.98915009041591317</v>
      </c>
      <c r="L205">
        <f>VLOOKUP(Table1[[#This Row],[Supplier ID]],Suppliers!$A$2:$D$6,4,FALSE)</f>
        <v>21</v>
      </c>
      <c r="M205">
        <f>Table1[[#This Row],[Actual Delivery]]-Table1[[#This Row],[Order Date]]-Table1[[#This Row],[std Lead time]]</f>
        <v>4</v>
      </c>
      <c r="N205">
        <f>IF(AND(Table1[[#This Row],[Status]] = "Delivered", Table1[[#This Row],[Actual Delivery]] &lt;= Table1[[#This Row],[Promised Delivery]],Table1[[#This Row],[FillRate]]&gt;=0.95),1,0)</f>
        <v>0</v>
      </c>
      <c r="O205" t="str">
        <f>VLOOKUP(B205,Products!$A$2:$D$9,3,FALSE)</f>
        <v>Raw Material</v>
      </c>
    </row>
    <row r="206" spans="1:15" x14ac:dyDescent="0.25">
      <c r="A206" s="14" t="s">
        <v>232</v>
      </c>
      <c r="B206" s="2" t="s">
        <v>44</v>
      </c>
      <c r="C206" s="2" t="s">
        <v>26</v>
      </c>
      <c r="D206" s="2" t="s">
        <v>23</v>
      </c>
      <c r="E206" s="3">
        <v>45526</v>
      </c>
      <c r="F206" s="20">
        <v>45533</v>
      </c>
      <c r="G206" s="20">
        <v>45538</v>
      </c>
      <c r="H206" s="2">
        <v>1310</v>
      </c>
      <c r="I206" s="2">
        <v>1217</v>
      </c>
      <c r="J206" s="4" t="s">
        <v>14</v>
      </c>
      <c r="K206">
        <f>Table1[[#This Row],[Delivered Qty]]/Table1[[#This Row],[Ordered Qty]]</f>
        <v>0.92900763358778626</v>
      </c>
      <c r="L206">
        <f>VLOOKUP(Table1[[#This Row],[Supplier ID]],Suppliers!$A$2:$D$6,4,FALSE)</f>
        <v>7</v>
      </c>
      <c r="M206">
        <f>Table1[[#This Row],[Actual Delivery]]-Table1[[#This Row],[Order Date]]-Table1[[#This Row],[std Lead time]]</f>
        <v>5</v>
      </c>
      <c r="N206">
        <f>IF(AND(Table1[[#This Row],[Status]] = "Delivered", Table1[[#This Row],[Actual Delivery]] &lt;= Table1[[#This Row],[Promised Delivery]],Table1[[#This Row],[FillRate]]&gt;=0.95),1,0)</f>
        <v>0</v>
      </c>
      <c r="O206" t="str">
        <f>VLOOKUP(B206,Products!$A$2:$D$9,3,FALSE)</f>
        <v>Finished Goods</v>
      </c>
    </row>
    <row r="207" spans="1:15" x14ac:dyDescent="0.25">
      <c r="A207" s="15" t="s">
        <v>233</v>
      </c>
      <c r="B207" s="5" t="s">
        <v>37</v>
      </c>
      <c r="C207" s="5" t="s">
        <v>31</v>
      </c>
      <c r="D207" s="5" t="s">
        <v>13</v>
      </c>
      <c r="E207" s="6">
        <v>45530</v>
      </c>
      <c r="F207" s="21">
        <v>45535</v>
      </c>
      <c r="G207" s="21">
        <v>45533</v>
      </c>
      <c r="H207" s="5">
        <v>611</v>
      </c>
      <c r="I207" s="5">
        <v>598</v>
      </c>
      <c r="J207" s="4" t="s">
        <v>14</v>
      </c>
      <c r="K207">
        <f>Table1[[#This Row],[Delivered Qty]]/Table1[[#This Row],[Ordered Qty]]</f>
        <v>0.97872340425531912</v>
      </c>
      <c r="L207">
        <f>VLOOKUP(Table1[[#This Row],[Supplier ID]],Suppliers!$A$2:$D$6,4,FALSE)</f>
        <v>5</v>
      </c>
      <c r="M207">
        <f>Table1[[#This Row],[Actual Delivery]]-Table1[[#This Row],[Order Date]]-Table1[[#This Row],[std Lead time]]</f>
        <v>-2</v>
      </c>
      <c r="N207">
        <f>IF(AND(Table1[[#This Row],[Status]] = "Delivered", Table1[[#This Row],[Actual Delivery]] &lt;= Table1[[#This Row],[Promised Delivery]],Table1[[#This Row],[FillRate]]&gt;=0.95),1,0)</f>
        <v>1</v>
      </c>
      <c r="O207" t="str">
        <f>VLOOKUP(B207,Products!$A$2:$D$9,3,FALSE)</f>
        <v>Raw Material</v>
      </c>
    </row>
    <row r="208" spans="1:15" x14ac:dyDescent="0.25">
      <c r="A208" s="14" t="s">
        <v>234</v>
      </c>
      <c r="B208" s="2" t="s">
        <v>20</v>
      </c>
      <c r="C208" s="2" t="s">
        <v>57</v>
      </c>
      <c r="D208" s="2" t="s">
        <v>28</v>
      </c>
      <c r="E208" s="3">
        <v>45516</v>
      </c>
      <c r="F208" s="20">
        <v>45537</v>
      </c>
      <c r="G208" s="20">
        <v>45537</v>
      </c>
      <c r="H208" s="2">
        <v>465</v>
      </c>
      <c r="I208" s="2">
        <v>446</v>
      </c>
      <c r="J208" s="4" t="s">
        <v>14</v>
      </c>
      <c r="K208">
        <f>Table1[[#This Row],[Delivered Qty]]/Table1[[#This Row],[Ordered Qty]]</f>
        <v>0.95913978494623653</v>
      </c>
      <c r="L208">
        <f>VLOOKUP(Table1[[#This Row],[Supplier ID]],Suppliers!$A$2:$D$6,4,FALSE)</f>
        <v>21</v>
      </c>
      <c r="M208">
        <f>Table1[[#This Row],[Actual Delivery]]-Table1[[#This Row],[Order Date]]-Table1[[#This Row],[std Lead time]]</f>
        <v>0</v>
      </c>
      <c r="N208">
        <f>IF(AND(Table1[[#This Row],[Status]] = "Delivered", Table1[[#This Row],[Actual Delivery]] &lt;= Table1[[#This Row],[Promised Delivery]],Table1[[#This Row],[FillRate]]&gt;=0.95),1,0)</f>
        <v>1</v>
      </c>
      <c r="O208" t="str">
        <f>VLOOKUP(B208,Products!$A$2:$D$9,3,FALSE)</f>
        <v>Raw Material</v>
      </c>
    </row>
    <row r="209" spans="1:15" x14ac:dyDescent="0.25">
      <c r="A209" s="15" t="s">
        <v>235</v>
      </c>
      <c r="B209" s="5" t="s">
        <v>16</v>
      </c>
      <c r="C209" s="5" t="s">
        <v>26</v>
      </c>
      <c r="D209" s="5" t="s">
        <v>23</v>
      </c>
      <c r="E209" s="6">
        <v>45517</v>
      </c>
      <c r="F209" s="21">
        <v>45524</v>
      </c>
      <c r="G209" s="21">
        <v>45523</v>
      </c>
      <c r="H209" s="5">
        <v>1886</v>
      </c>
      <c r="I209" s="5">
        <v>1709</v>
      </c>
      <c r="J209" s="4" t="s">
        <v>14</v>
      </c>
      <c r="K209">
        <f>Table1[[#This Row],[Delivered Qty]]/Table1[[#This Row],[Ordered Qty]]</f>
        <v>0.90615058324496289</v>
      </c>
      <c r="L209">
        <f>VLOOKUP(Table1[[#This Row],[Supplier ID]],Suppliers!$A$2:$D$6,4,FALSE)</f>
        <v>7</v>
      </c>
      <c r="M209">
        <f>Table1[[#This Row],[Actual Delivery]]-Table1[[#This Row],[Order Date]]-Table1[[#This Row],[std Lead time]]</f>
        <v>-1</v>
      </c>
      <c r="N209">
        <f>IF(AND(Table1[[#This Row],[Status]] = "Delivered", Table1[[#This Row],[Actual Delivery]] &lt;= Table1[[#This Row],[Promised Delivery]],Table1[[#This Row],[FillRate]]&gt;=0.95),1,0)</f>
        <v>0</v>
      </c>
      <c r="O209" t="str">
        <f>VLOOKUP(B209,Products!$A$2:$D$9,3,FALSE)</f>
        <v>Packaging</v>
      </c>
    </row>
    <row r="210" spans="1:15" x14ac:dyDescent="0.25">
      <c r="A210" s="14" t="s">
        <v>236</v>
      </c>
      <c r="B210" s="2" t="s">
        <v>33</v>
      </c>
      <c r="C210" s="2" t="s">
        <v>12</v>
      </c>
      <c r="D210" s="2" t="s">
        <v>28</v>
      </c>
      <c r="E210" s="3">
        <v>45519</v>
      </c>
      <c r="F210" s="20">
        <v>45537</v>
      </c>
      <c r="G210" s="20">
        <v>45536</v>
      </c>
      <c r="H210" s="2">
        <v>462</v>
      </c>
      <c r="I210" s="2">
        <v>456</v>
      </c>
      <c r="J210" s="4" t="s">
        <v>14</v>
      </c>
      <c r="K210">
        <f>Table1[[#This Row],[Delivered Qty]]/Table1[[#This Row],[Ordered Qty]]</f>
        <v>0.98701298701298701</v>
      </c>
      <c r="L210">
        <f>VLOOKUP(Table1[[#This Row],[Supplier ID]],Suppliers!$A$2:$D$6,4,FALSE)</f>
        <v>18</v>
      </c>
      <c r="M210">
        <f>Table1[[#This Row],[Actual Delivery]]-Table1[[#This Row],[Order Date]]-Table1[[#This Row],[std Lead time]]</f>
        <v>-1</v>
      </c>
      <c r="N210">
        <f>IF(AND(Table1[[#This Row],[Status]] = "Delivered", Table1[[#This Row],[Actual Delivery]] &lt;= Table1[[#This Row],[Promised Delivery]],Table1[[#This Row],[FillRate]]&gt;=0.95),1,0)</f>
        <v>1</v>
      </c>
      <c r="O210" t="str">
        <f>VLOOKUP(B210,Products!$A$2:$D$9,3,FALSE)</f>
        <v>Raw Material</v>
      </c>
    </row>
    <row r="211" spans="1:15" x14ac:dyDescent="0.25">
      <c r="A211" s="15" t="s">
        <v>237</v>
      </c>
      <c r="B211" s="5" t="s">
        <v>33</v>
      </c>
      <c r="C211" s="5" t="s">
        <v>31</v>
      </c>
      <c r="D211" s="5" t="s">
        <v>18</v>
      </c>
      <c r="E211" s="6">
        <v>45521</v>
      </c>
      <c r="F211" s="21">
        <v>45526</v>
      </c>
      <c r="G211" s="21">
        <v>45531</v>
      </c>
      <c r="H211" s="5">
        <v>513</v>
      </c>
      <c r="I211" s="5">
        <v>477</v>
      </c>
      <c r="J211" s="4" t="s">
        <v>14</v>
      </c>
      <c r="K211">
        <f>Table1[[#This Row],[Delivered Qty]]/Table1[[#This Row],[Ordered Qty]]</f>
        <v>0.92982456140350878</v>
      </c>
      <c r="L211">
        <f>VLOOKUP(Table1[[#This Row],[Supplier ID]],Suppliers!$A$2:$D$6,4,FALSE)</f>
        <v>5</v>
      </c>
      <c r="M211">
        <f>Table1[[#This Row],[Actual Delivery]]-Table1[[#This Row],[Order Date]]-Table1[[#This Row],[std Lead time]]</f>
        <v>5</v>
      </c>
      <c r="N211">
        <f>IF(AND(Table1[[#This Row],[Status]] = "Delivered", Table1[[#This Row],[Actual Delivery]] &lt;= Table1[[#This Row],[Promised Delivery]],Table1[[#This Row],[FillRate]]&gt;=0.95),1,0)</f>
        <v>0</v>
      </c>
      <c r="O211" t="str">
        <f>VLOOKUP(B211,Products!$A$2:$D$9,3,FALSE)</f>
        <v>Raw Material</v>
      </c>
    </row>
    <row r="212" spans="1:15" x14ac:dyDescent="0.25">
      <c r="A212" s="14" t="s">
        <v>238</v>
      </c>
      <c r="B212" s="2" t="s">
        <v>30</v>
      </c>
      <c r="C212" s="2" t="s">
        <v>31</v>
      </c>
      <c r="D212" s="2" t="s">
        <v>23</v>
      </c>
      <c r="E212" s="3">
        <v>45552</v>
      </c>
      <c r="F212" s="20">
        <v>45557</v>
      </c>
      <c r="G212" s="20">
        <v>45560</v>
      </c>
      <c r="H212" s="2">
        <v>602</v>
      </c>
      <c r="I212" s="2">
        <v>580</v>
      </c>
      <c r="J212" s="4" t="s">
        <v>14</v>
      </c>
      <c r="K212">
        <f>Table1[[#This Row],[Delivered Qty]]/Table1[[#This Row],[Ordered Qty]]</f>
        <v>0.96345514950166111</v>
      </c>
      <c r="L212">
        <f>VLOOKUP(Table1[[#This Row],[Supplier ID]],Suppliers!$A$2:$D$6,4,FALSE)</f>
        <v>5</v>
      </c>
      <c r="M212">
        <f>Table1[[#This Row],[Actual Delivery]]-Table1[[#This Row],[Order Date]]-Table1[[#This Row],[std Lead time]]</f>
        <v>3</v>
      </c>
      <c r="N212">
        <f>IF(AND(Table1[[#This Row],[Status]] = "Delivered", Table1[[#This Row],[Actual Delivery]] &lt;= Table1[[#This Row],[Promised Delivery]],Table1[[#This Row],[FillRate]]&gt;=0.95),1,0)</f>
        <v>0</v>
      </c>
      <c r="O212" t="str">
        <f>VLOOKUP(B212,Products!$A$2:$D$9,3,FALSE)</f>
        <v>Finished Goods</v>
      </c>
    </row>
    <row r="213" spans="1:15" x14ac:dyDescent="0.25">
      <c r="A213" s="15" t="s">
        <v>239</v>
      </c>
      <c r="B213" s="5" t="s">
        <v>37</v>
      </c>
      <c r="C213" s="5" t="s">
        <v>31</v>
      </c>
      <c r="D213" s="5" t="s">
        <v>23</v>
      </c>
      <c r="E213" s="6">
        <v>45555</v>
      </c>
      <c r="F213" s="21">
        <v>45560</v>
      </c>
      <c r="G213" s="21">
        <v>45558</v>
      </c>
      <c r="H213" s="5">
        <v>1412</v>
      </c>
      <c r="I213" s="5">
        <v>1403</v>
      </c>
      <c r="J213" s="4" t="s">
        <v>14</v>
      </c>
      <c r="K213">
        <f>Table1[[#This Row],[Delivered Qty]]/Table1[[#This Row],[Ordered Qty]]</f>
        <v>0.99362606232294615</v>
      </c>
      <c r="L213">
        <f>VLOOKUP(Table1[[#This Row],[Supplier ID]],Suppliers!$A$2:$D$6,4,FALSE)</f>
        <v>5</v>
      </c>
      <c r="M213">
        <f>Table1[[#This Row],[Actual Delivery]]-Table1[[#This Row],[Order Date]]-Table1[[#This Row],[std Lead time]]</f>
        <v>-2</v>
      </c>
      <c r="N213">
        <f>IF(AND(Table1[[#This Row],[Status]] = "Delivered", Table1[[#This Row],[Actual Delivery]] &lt;= Table1[[#This Row],[Promised Delivery]],Table1[[#This Row],[FillRate]]&gt;=0.95),1,0)</f>
        <v>1</v>
      </c>
      <c r="O213" t="str">
        <f>VLOOKUP(B213,Products!$A$2:$D$9,3,FALSE)</f>
        <v>Raw Material</v>
      </c>
    </row>
    <row r="214" spans="1:15" x14ac:dyDescent="0.25">
      <c r="A214" s="14" t="s">
        <v>240</v>
      </c>
      <c r="B214" s="2" t="s">
        <v>33</v>
      </c>
      <c r="C214" s="2" t="s">
        <v>31</v>
      </c>
      <c r="D214" s="2" t="s">
        <v>23</v>
      </c>
      <c r="E214" s="3">
        <v>45562</v>
      </c>
      <c r="F214" s="20">
        <v>45567</v>
      </c>
      <c r="G214" s="20">
        <v>45568</v>
      </c>
      <c r="H214" s="2">
        <v>366</v>
      </c>
      <c r="I214" s="2">
        <v>331</v>
      </c>
      <c r="J214" s="4" t="s">
        <v>14</v>
      </c>
      <c r="K214">
        <f>Table1[[#This Row],[Delivered Qty]]/Table1[[#This Row],[Ordered Qty]]</f>
        <v>0.90437158469945356</v>
      </c>
      <c r="L214">
        <f>VLOOKUP(Table1[[#This Row],[Supplier ID]],Suppliers!$A$2:$D$6,4,FALSE)</f>
        <v>5</v>
      </c>
      <c r="M214">
        <f>Table1[[#This Row],[Actual Delivery]]-Table1[[#This Row],[Order Date]]-Table1[[#This Row],[std Lead time]]</f>
        <v>1</v>
      </c>
      <c r="N214">
        <f>IF(AND(Table1[[#This Row],[Status]] = "Delivered", Table1[[#This Row],[Actual Delivery]] &lt;= Table1[[#This Row],[Promised Delivery]],Table1[[#This Row],[FillRate]]&gt;=0.95),1,0)</f>
        <v>0</v>
      </c>
      <c r="O214" t="str">
        <f>VLOOKUP(B214,Products!$A$2:$D$9,3,FALSE)</f>
        <v>Raw Material</v>
      </c>
    </row>
    <row r="215" spans="1:15" x14ac:dyDescent="0.25">
      <c r="A215" s="15" t="s">
        <v>241</v>
      </c>
      <c r="B215" s="5" t="s">
        <v>37</v>
      </c>
      <c r="C215" s="5" t="s">
        <v>31</v>
      </c>
      <c r="D215" s="5" t="s">
        <v>18</v>
      </c>
      <c r="E215" s="6">
        <v>45555</v>
      </c>
      <c r="F215" s="21">
        <v>45560</v>
      </c>
      <c r="G215" s="21">
        <v>45560</v>
      </c>
      <c r="H215" s="5">
        <v>1317</v>
      </c>
      <c r="I215" s="5">
        <v>1223</v>
      </c>
      <c r="J215" s="4" t="s">
        <v>14</v>
      </c>
      <c r="K215">
        <f>Table1[[#This Row],[Delivered Qty]]/Table1[[#This Row],[Ordered Qty]]</f>
        <v>0.92862566438876237</v>
      </c>
      <c r="L215">
        <f>VLOOKUP(Table1[[#This Row],[Supplier ID]],Suppliers!$A$2:$D$6,4,FALSE)</f>
        <v>5</v>
      </c>
      <c r="M215">
        <f>Table1[[#This Row],[Actual Delivery]]-Table1[[#This Row],[Order Date]]-Table1[[#This Row],[std Lead time]]</f>
        <v>0</v>
      </c>
      <c r="N215">
        <f>IF(AND(Table1[[#This Row],[Status]] = "Delivered", Table1[[#This Row],[Actual Delivery]] &lt;= Table1[[#This Row],[Promised Delivery]],Table1[[#This Row],[FillRate]]&gt;=0.95),1,0)</f>
        <v>0</v>
      </c>
      <c r="O215" t="str">
        <f>VLOOKUP(B215,Products!$A$2:$D$9,3,FALSE)</f>
        <v>Raw Material</v>
      </c>
    </row>
    <row r="216" spans="1:15" x14ac:dyDescent="0.25">
      <c r="A216" s="14" t="s">
        <v>242</v>
      </c>
      <c r="B216" s="2" t="s">
        <v>37</v>
      </c>
      <c r="C216" s="2" t="s">
        <v>57</v>
      </c>
      <c r="D216" s="2" t="s">
        <v>13</v>
      </c>
      <c r="E216" s="3">
        <v>45561</v>
      </c>
      <c r="F216" s="20">
        <v>45582</v>
      </c>
      <c r="G216" s="20">
        <v>45580</v>
      </c>
      <c r="H216" s="2">
        <v>1100</v>
      </c>
      <c r="I216" s="2">
        <v>1035</v>
      </c>
      <c r="J216" s="4" t="s">
        <v>14</v>
      </c>
      <c r="K216">
        <f>Table1[[#This Row],[Delivered Qty]]/Table1[[#This Row],[Ordered Qty]]</f>
        <v>0.94090909090909092</v>
      </c>
      <c r="L216">
        <f>VLOOKUP(Table1[[#This Row],[Supplier ID]],Suppliers!$A$2:$D$6,4,FALSE)</f>
        <v>21</v>
      </c>
      <c r="M216">
        <f>Table1[[#This Row],[Actual Delivery]]-Table1[[#This Row],[Order Date]]-Table1[[#This Row],[std Lead time]]</f>
        <v>-2</v>
      </c>
      <c r="N216">
        <f>IF(AND(Table1[[#This Row],[Status]] = "Delivered", Table1[[#This Row],[Actual Delivery]] &lt;= Table1[[#This Row],[Promised Delivery]],Table1[[#This Row],[FillRate]]&gt;=0.95),1,0)</f>
        <v>0</v>
      </c>
      <c r="O216" t="str">
        <f>VLOOKUP(B216,Products!$A$2:$D$9,3,FALSE)</f>
        <v>Raw Material</v>
      </c>
    </row>
    <row r="217" spans="1:15" x14ac:dyDescent="0.25">
      <c r="A217" s="15" t="s">
        <v>243</v>
      </c>
      <c r="B217" s="5" t="s">
        <v>44</v>
      </c>
      <c r="C217" s="5" t="s">
        <v>31</v>
      </c>
      <c r="D217" s="5" t="s">
        <v>23</v>
      </c>
      <c r="E217" s="6">
        <v>45555</v>
      </c>
      <c r="F217" s="21">
        <v>45560</v>
      </c>
      <c r="G217" s="21">
        <v>45560</v>
      </c>
      <c r="H217" s="5">
        <v>853</v>
      </c>
      <c r="I217" s="5">
        <v>830</v>
      </c>
      <c r="J217" s="4" t="s">
        <v>14</v>
      </c>
      <c r="K217">
        <f>Table1[[#This Row],[Delivered Qty]]/Table1[[#This Row],[Ordered Qty]]</f>
        <v>0.97303634232121927</v>
      </c>
      <c r="L217">
        <f>VLOOKUP(Table1[[#This Row],[Supplier ID]],Suppliers!$A$2:$D$6,4,FALSE)</f>
        <v>5</v>
      </c>
      <c r="M217">
        <f>Table1[[#This Row],[Actual Delivery]]-Table1[[#This Row],[Order Date]]-Table1[[#This Row],[std Lead time]]</f>
        <v>0</v>
      </c>
      <c r="N217">
        <f>IF(AND(Table1[[#This Row],[Status]] = "Delivered", Table1[[#This Row],[Actual Delivery]] &lt;= Table1[[#This Row],[Promised Delivery]],Table1[[#This Row],[FillRate]]&gt;=0.95),1,0)</f>
        <v>1</v>
      </c>
      <c r="O217" t="str">
        <f>VLOOKUP(B217,Products!$A$2:$D$9,3,FALSE)</f>
        <v>Finished Goods</v>
      </c>
    </row>
    <row r="218" spans="1:15" x14ac:dyDescent="0.25">
      <c r="A218" s="14" t="s">
        <v>244</v>
      </c>
      <c r="B218" s="2" t="s">
        <v>30</v>
      </c>
      <c r="C218" s="2" t="s">
        <v>57</v>
      </c>
      <c r="D218" s="2" t="s">
        <v>13</v>
      </c>
      <c r="E218" s="3">
        <v>45560</v>
      </c>
      <c r="F218" s="20">
        <v>45581</v>
      </c>
      <c r="G218" s="20">
        <v>45580</v>
      </c>
      <c r="H218" s="2">
        <v>1120</v>
      </c>
      <c r="I218" s="2">
        <v>1035</v>
      </c>
      <c r="J218" s="4" t="s">
        <v>14</v>
      </c>
      <c r="K218">
        <f>Table1[[#This Row],[Delivered Qty]]/Table1[[#This Row],[Ordered Qty]]</f>
        <v>0.9241071428571429</v>
      </c>
      <c r="L218">
        <f>VLOOKUP(Table1[[#This Row],[Supplier ID]],Suppliers!$A$2:$D$6,4,FALSE)</f>
        <v>21</v>
      </c>
      <c r="M218">
        <f>Table1[[#This Row],[Actual Delivery]]-Table1[[#This Row],[Order Date]]-Table1[[#This Row],[std Lead time]]</f>
        <v>-1</v>
      </c>
      <c r="N218">
        <f>IF(AND(Table1[[#This Row],[Status]] = "Delivered", Table1[[#This Row],[Actual Delivery]] &lt;= Table1[[#This Row],[Promised Delivery]],Table1[[#This Row],[FillRate]]&gt;=0.95),1,0)</f>
        <v>0</v>
      </c>
      <c r="O218" t="str">
        <f>VLOOKUP(B218,Products!$A$2:$D$9,3,FALSE)</f>
        <v>Finished Goods</v>
      </c>
    </row>
    <row r="219" spans="1:15" x14ac:dyDescent="0.25">
      <c r="A219" s="15" t="s">
        <v>245</v>
      </c>
      <c r="B219" s="5" t="s">
        <v>16</v>
      </c>
      <c r="C219" s="5" t="s">
        <v>26</v>
      </c>
      <c r="D219" s="5" t="s">
        <v>23</v>
      </c>
      <c r="E219" s="6">
        <v>45548</v>
      </c>
      <c r="F219" s="21">
        <v>45555</v>
      </c>
      <c r="G219" s="21">
        <v>45553</v>
      </c>
      <c r="H219" s="5">
        <v>1866</v>
      </c>
      <c r="I219" s="5">
        <v>1589</v>
      </c>
      <c r="J219" s="4" t="s">
        <v>14</v>
      </c>
      <c r="K219">
        <f>Table1[[#This Row],[Delivered Qty]]/Table1[[#This Row],[Ordered Qty]]</f>
        <v>0.85155412647374062</v>
      </c>
      <c r="L219">
        <f>VLOOKUP(Table1[[#This Row],[Supplier ID]],Suppliers!$A$2:$D$6,4,FALSE)</f>
        <v>7</v>
      </c>
      <c r="M219">
        <f>Table1[[#This Row],[Actual Delivery]]-Table1[[#This Row],[Order Date]]-Table1[[#This Row],[std Lead time]]</f>
        <v>-2</v>
      </c>
      <c r="N219">
        <f>IF(AND(Table1[[#This Row],[Status]] = "Delivered", Table1[[#This Row],[Actual Delivery]] &lt;= Table1[[#This Row],[Promised Delivery]],Table1[[#This Row],[FillRate]]&gt;=0.95),1,0)</f>
        <v>0</v>
      </c>
      <c r="O219" t="str">
        <f>VLOOKUP(B219,Products!$A$2:$D$9,3,FALSE)</f>
        <v>Packaging</v>
      </c>
    </row>
    <row r="220" spans="1:15" x14ac:dyDescent="0.25">
      <c r="A220" s="14" t="s">
        <v>246</v>
      </c>
      <c r="B220" s="2" t="s">
        <v>30</v>
      </c>
      <c r="C220" s="2" t="s">
        <v>31</v>
      </c>
      <c r="D220" s="2" t="s">
        <v>13</v>
      </c>
      <c r="E220" s="3">
        <v>45551</v>
      </c>
      <c r="F220" s="20">
        <v>45556</v>
      </c>
      <c r="G220" s="20">
        <v>45555</v>
      </c>
      <c r="H220" s="2">
        <v>1218</v>
      </c>
      <c r="I220" s="2">
        <v>1099</v>
      </c>
      <c r="J220" s="4" t="s">
        <v>14</v>
      </c>
      <c r="K220">
        <f>Table1[[#This Row],[Delivered Qty]]/Table1[[#This Row],[Ordered Qty]]</f>
        <v>0.9022988505747126</v>
      </c>
      <c r="L220">
        <f>VLOOKUP(Table1[[#This Row],[Supplier ID]],Suppliers!$A$2:$D$6,4,FALSE)</f>
        <v>5</v>
      </c>
      <c r="M220">
        <f>Table1[[#This Row],[Actual Delivery]]-Table1[[#This Row],[Order Date]]-Table1[[#This Row],[std Lead time]]</f>
        <v>-1</v>
      </c>
      <c r="N220">
        <f>IF(AND(Table1[[#This Row],[Status]] = "Delivered", Table1[[#This Row],[Actual Delivery]] &lt;= Table1[[#This Row],[Promised Delivery]],Table1[[#This Row],[FillRate]]&gt;=0.95),1,0)</f>
        <v>0</v>
      </c>
      <c r="O220" t="str">
        <f>VLOOKUP(B220,Products!$A$2:$D$9,3,FALSE)</f>
        <v>Finished Goods</v>
      </c>
    </row>
    <row r="221" spans="1:15" x14ac:dyDescent="0.25">
      <c r="A221" s="15" t="s">
        <v>247</v>
      </c>
      <c r="B221" s="5" t="s">
        <v>22</v>
      </c>
      <c r="C221" s="5" t="s">
        <v>17</v>
      </c>
      <c r="D221" s="5" t="s">
        <v>18</v>
      </c>
      <c r="E221" s="6">
        <v>45543</v>
      </c>
      <c r="F221" s="21">
        <v>45549</v>
      </c>
      <c r="G221" s="21">
        <v>45547</v>
      </c>
      <c r="H221" s="5">
        <v>303</v>
      </c>
      <c r="I221" s="5">
        <v>281</v>
      </c>
      <c r="J221" s="4" t="s">
        <v>14</v>
      </c>
      <c r="K221">
        <f>Table1[[#This Row],[Delivered Qty]]/Table1[[#This Row],[Ordered Qty]]</f>
        <v>0.9273927392739274</v>
      </c>
      <c r="L221">
        <f>VLOOKUP(Table1[[#This Row],[Supplier ID]],Suppliers!$A$2:$D$6,4,FALSE)</f>
        <v>6</v>
      </c>
      <c r="M221">
        <f>Table1[[#This Row],[Actual Delivery]]-Table1[[#This Row],[Order Date]]-Table1[[#This Row],[std Lead time]]</f>
        <v>-2</v>
      </c>
      <c r="N221">
        <f>IF(AND(Table1[[#This Row],[Status]] = "Delivered", Table1[[#This Row],[Actual Delivery]] &lt;= Table1[[#This Row],[Promised Delivery]],Table1[[#This Row],[FillRate]]&gt;=0.95),1,0)</f>
        <v>0</v>
      </c>
      <c r="O221" t="str">
        <f>VLOOKUP(B221,Products!$A$2:$D$9,3,FALSE)</f>
        <v>Finished Goods</v>
      </c>
    </row>
    <row r="222" spans="1:15" x14ac:dyDescent="0.25">
      <c r="A222" s="14" t="s">
        <v>248</v>
      </c>
      <c r="B222" s="2" t="s">
        <v>44</v>
      </c>
      <c r="C222" s="2" t="s">
        <v>12</v>
      </c>
      <c r="D222" s="2" t="s">
        <v>28</v>
      </c>
      <c r="E222" s="3">
        <v>45563</v>
      </c>
      <c r="F222" s="20">
        <v>45581</v>
      </c>
      <c r="G222" s="20">
        <v>45580</v>
      </c>
      <c r="H222" s="2">
        <v>1764</v>
      </c>
      <c r="I222" s="2">
        <v>1658</v>
      </c>
      <c r="J222" s="4" t="s">
        <v>14</v>
      </c>
      <c r="K222">
        <f>Table1[[#This Row],[Delivered Qty]]/Table1[[#This Row],[Ordered Qty]]</f>
        <v>0.9399092970521542</v>
      </c>
      <c r="L222">
        <f>VLOOKUP(Table1[[#This Row],[Supplier ID]],Suppliers!$A$2:$D$6,4,FALSE)</f>
        <v>18</v>
      </c>
      <c r="M222">
        <f>Table1[[#This Row],[Actual Delivery]]-Table1[[#This Row],[Order Date]]-Table1[[#This Row],[std Lead time]]</f>
        <v>-1</v>
      </c>
      <c r="N222">
        <f>IF(AND(Table1[[#This Row],[Status]] = "Delivered", Table1[[#This Row],[Actual Delivery]] &lt;= Table1[[#This Row],[Promised Delivery]],Table1[[#This Row],[FillRate]]&gt;=0.95),1,0)</f>
        <v>0</v>
      </c>
      <c r="O222" t="str">
        <f>VLOOKUP(B222,Products!$A$2:$D$9,3,FALSE)</f>
        <v>Finished Goods</v>
      </c>
    </row>
    <row r="223" spans="1:15" x14ac:dyDescent="0.25">
      <c r="A223" s="15" t="s">
        <v>249</v>
      </c>
      <c r="B223" s="5" t="s">
        <v>11</v>
      </c>
      <c r="C223" s="5" t="s">
        <v>57</v>
      </c>
      <c r="D223" s="5" t="s">
        <v>28</v>
      </c>
      <c r="E223" s="6">
        <v>45554</v>
      </c>
      <c r="F223" s="21">
        <v>45575</v>
      </c>
      <c r="G223" s="21">
        <v>45575</v>
      </c>
      <c r="H223" s="5">
        <v>1122</v>
      </c>
      <c r="I223" s="5">
        <v>1063</v>
      </c>
      <c r="J223" s="4" t="s">
        <v>14</v>
      </c>
      <c r="K223">
        <f>Table1[[#This Row],[Delivered Qty]]/Table1[[#This Row],[Ordered Qty]]</f>
        <v>0.94741532976827092</v>
      </c>
      <c r="L223">
        <f>VLOOKUP(Table1[[#This Row],[Supplier ID]],Suppliers!$A$2:$D$6,4,FALSE)</f>
        <v>21</v>
      </c>
      <c r="M223">
        <f>Table1[[#This Row],[Actual Delivery]]-Table1[[#This Row],[Order Date]]-Table1[[#This Row],[std Lead time]]</f>
        <v>0</v>
      </c>
      <c r="N223">
        <f>IF(AND(Table1[[#This Row],[Status]] = "Delivered", Table1[[#This Row],[Actual Delivery]] &lt;= Table1[[#This Row],[Promised Delivery]],Table1[[#This Row],[FillRate]]&gt;=0.95),1,0)</f>
        <v>0</v>
      </c>
      <c r="O223" t="str">
        <f>VLOOKUP(B223,Products!$A$2:$D$9,3,FALSE)</f>
        <v>Packaging</v>
      </c>
    </row>
    <row r="224" spans="1:15" x14ac:dyDescent="0.25">
      <c r="A224" s="14" t="s">
        <v>250</v>
      </c>
      <c r="B224" s="2" t="s">
        <v>37</v>
      </c>
      <c r="C224" s="2" t="s">
        <v>17</v>
      </c>
      <c r="D224" s="2" t="s">
        <v>28</v>
      </c>
      <c r="E224" s="3">
        <v>45540</v>
      </c>
      <c r="F224" s="20">
        <v>45546</v>
      </c>
      <c r="G224" s="20">
        <v>45545</v>
      </c>
      <c r="H224" s="2">
        <v>1342</v>
      </c>
      <c r="I224" s="2">
        <v>1333</v>
      </c>
      <c r="J224" s="4" t="s">
        <v>14</v>
      </c>
      <c r="K224">
        <f>Table1[[#This Row],[Delivered Qty]]/Table1[[#This Row],[Ordered Qty]]</f>
        <v>0.99329359165424735</v>
      </c>
      <c r="L224">
        <f>VLOOKUP(Table1[[#This Row],[Supplier ID]],Suppliers!$A$2:$D$6,4,FALSE)</f>
        <v>6</v>
      </c>
      <c r="M224">
        <f>Table1[[#This Row],[Actual Delivery]]-Table1[[#This Row],[Order Date]]-Table1[[#This Row],[std Lead time]]</f>
        <v>-1</v>
      </c>
      <c r="N224">
        <f>IF(AND(Table1[[#This Row],[Status]] = "Delivered", Table1[[#This Row],[Actual Delivery]] &lt;= Table1[[#This Row],[Promised Delivery]],Table1[[#This Row],[FillRate]]&gt;=0.95),1,0)</f>
        <v>1</v>
      </c>
      <c r="O224" t="str">
        <f>VLOOKUP(B224,Products!$A$2:$D$9,3,FALSE)</f>
        <v>Raw Material</v>
      </c>
    </row>
    <row r="225" spans="1:15" x14ac:dyDescent="0.25">
      <c r="A225" s="15" t="s">
        <v>251</v>
      </c>
      <c r="B225" s="5" t="s">
        <v>33</v>
      </c>
      <c r="C225" s="5" t="s">
        <v>31</v>
      </c>
      <c r="D225" s="5" t="s">
        <v>18</v>
      </c>
      <c r="E225" s="6">
        <v>45552</v>
      </c>
      <c r="F225" s="21">
        <v>45557</v>
      </c>
      <c r="G225" s="21">
        <v>45555</v>
      </c>
      <c r="H225" s="5">
        <v>1661</v>
      </c>
      <c r="I225" s="5">
        <v>1550</v>
      </c>
      <c r="J225" s="4" t="s">
        <v>14</v>
      </c>
      <c r="K225">
        <f>Table1[[#This Row],[Delivered Qty]]/Table1[[#This Row],[Ordered Qty]]</f>
        <v>0.93317278747742327</v>
      </c>
      <c r="L225">
        <f>VLOOKUP(Table1[[#This Row],[Supplier ID]],Suppliers!$A$2:$D$6,4,FALSE)</f>
        <v>5</v>
      </c>
      <c r="M225">
        <f>Table1[[#This Row],[Actual Delivery]]-Table1[[#This Row],[Order Date]]-Table1[[#This Row],[std Lead time]]</f>
        <v>-2</v>
      </c>
      <c r="N225">
        <f>IF(AND(Table1[[#This Row],[Status]] = "Delivered", Table1[[#This Row],[Actual Delivery]] &lt;= Table1[[#This Row],[Promised Delivery]],Table1[[#This Row],[FillRate]]&gt;=0.95),1,0)</f>
        <v>0</v>
      </c>
      <c r="O225" t="str">
        <f>VLOOKUP(B225,Products!$A$2:$D$9,3,FALSE)</f>
        <v>Raw Material</v>
      </c>
    </row>
    <row r="226" spans="1:15" x14ac:dyDescent="0.25">
      <c r="A226" s="14" t="s">
        <v>252</v>
      </c>
      <c r="B226" s="2" t="s">
        <v>44</v>
      </c>
      <c r="C226" s="2" t="s">
        <v>17</v>
      </c>
      <c r="D226" s="2" t="s">
        <v>18</v>
      </c>
      <c r="E226" s="3">
        <v>45540</v>
      </c>
      <c r="F226" s="20">
        <v>45546</v>
      </c>
      <c r="G226" s="20">
        <v>45546</v>
      </c>
      <c r="H226" s="2">
        <v>852</v>
      </c>
      <c r="I226" s="2">
        <v>780</v>
      </c>
      <c r="J226" s="4" t="s">
        <v>14</v>
      </c>
      <c r="K226">
        <f>Table1[[#This Row],[Delivered Qty]]/Table1[[#This Row],[Ordered Qty]]</f>
        <v>0.91549295774647887</v>
      </c>
      <c r="L226">
        <f>VLOOKUP(Table1[[#This Row],[Supplier ID]],Suppliers!$A$2:$D$6,4,FALSE)</f>
        <v>6</v>
      </c>
      <c r="M226">
        <f>Table1[[#This Row],[Actual Delivery]]-Table1[[#This Row],[Order Date]]-Table1[[#This Row],[std Lead time]]</f>
        <v>0</v>
      </c>
      <c r="N226">
        <f>IF(AND(Table1[[#This Row],[Status]] = "Delivered", Table1[[#This Row],[Actual Delivery]] &lt;= Table1[[#This Row],[Promised Delivery]],Table1[[#This Row],[FillRate]]&gt;=0.95),1,0)</f>
        <v>0</v>
      </c>
      <c r="O226" t="str">
        <f>VLOOKUP(B226,Products!$A$2:$D$9,3,FALSE)</f>
        <v>Finished Goods</v>
      </c>
    </row>
    <row r="227" spans="1:15" x14ac:dyDescent="0.25">
      <c r="A227" s="15" t="s">
        <v>253</v>
      </c>
      <c r="B227" s="5" t="s">
        <v>37</v>
      </c>
      <c r="C227" s="5" t="s">
        <v>17</v>
      </c>
      <c r="D227" s="5" t="s">
        <v>23</v>
      </c>
      <c r="E227" s="6">
        <v>45552</v>
      </c>
      <c r="F227" s="21">
        <v>45558</v>
      </c>
      <c r="G227" s="21">
        <v>45561</v>
      </c>
      <c r="H227" s="5">
        <v>1172</v>
      </c>
      <c r="I227" s="5">
        <v>1150</v>
      </c>
      <c r="J227" s="4" t="s">
        <v>14</v>
      </c>
      <c r="K227">
        <f>Table1[[#This Row],[Delivered Qty]]/Table1[[#This Row],[Ordered Qty]]</f>
        <v>0.98122866894197958</v>
      </c>
      <c r="L227">
        <f>VLOOKUP(Table1[[#This Row],[Supplier ID]],Suppliers!$A$2:$D$6,4,FALSE)</f>
        <v>6</v>
      </c>
      <c r="M227">
        <f>Table1[[#This Row],[Actual Delivery]]-Table1[[#This Row],[Order Date]]-Table1[[#This Row],[std Lead time]]</f>
        <v>3</v>
      </c>
      <c r="N227">
        <f>IF(AND(Table1[[#This Row],[Status]] = "Delivered", Table1[[#This Row],[Actual Delivery]] &lt;= Table1[[#This Row],[Promised Delivery]],Table1[[#This Row],[FillRate]]&gt;=0.95),1,0)</f>
        <v>0</v>
      </c>
      <c r="O227" t="str">
        <f>VLOOKUP(B227,Products!$A$2:$D$9,3,FALSE)</f>
        <v>Raw Material</v>
      </c>
    </row>
    <row r="228" spans="1:15" x14ac:dyDescent="0.25">
      <c r="A228" s="14" t="s">
        <v>254</v>
      </c>
      <c r="B228" s="2" t="s">
        <v>30</v>
      </c>
      <c r="C228" s="2" t="s">
        <v>12</v>
      </c>
      <c r="D228" s="2" t="s">
        <v>28</v>
      </c>
      <c r="E228" s="3">
        <v>45549</v>
      </c>
      <c r="F228" s="20">
        <v>45567</v>
      </c>
      <c r="G228" s="20">
        <v>45567</v>
      </c>
      <c r="H228" s="2">
        <v>1803</v>
      </c>
      <c r="I228" s="2">
        <v>1797</v>
      </c>
      <c r="J228" s="4" t="s">
        <v>14</v>
      </c>
      <c r="K228">
        <f>Table1[[#This Row],[Delivered Qty]]/Table1[[#This Row],[Ordered Qty]]</f>
        <v>0.99667221297836939</v>
      </c>
      <c r="L228">
        <f>VLOOKUP(Table1[[#This Row],[Supplier ID]],Suppliers!$A$2:$D$6,4,FALSE)</f>
        <v>18</v>
      </c>
      <c r="M228">
        <f>Table1[[#This Row],[Actual Delivery]]-Table1[[#This Row],[Order Date]]-Table1[[#This Row],[std Lead time]]</f>
        <v>0</v>
      </c>
      <c r="N228">
        <f>IF(AND(Table1[[#This Row],[Status]] = "Delivered", Table1[[#This Row],[Actual Delivery]] &lt;= Table1[[#This Row],[Promised Delivery]],Table1[[#This Row],[FillRate]]&gt;=0.95),1,0)</f>
        <v>1</v>
      </c>
      <c r="O228" t="str">
        <f>VLOOKUP(B228,Products!$A$2:$D$9,3,FALSE)</f>
        <v>Finished Goods</v>
      </c>
    </row>
    <row r="229" spans="1:15" x14ac:dyDescent="0.25">
      <c r="A229" s="15" t="s">
        <v>255</v>
      </c>
      <c r="B229" s="5" t="s">
        <v>20</v>
      </c>
      <c r="C229" s="5" t="s">
        <v>26</v>
      </c>
      <c r="D229" s="5" t="s">
        <v>18</v>
      </c>
      <c r="E229" s="6">
        <v>45541</v>
      </c>
      <c r="F229" s="21">
        <v>45548</v>
      </c>
      <c r="G229" s="21">
        <v>45548</v>
      </c>
      <c r="H229" s="5">
        <v>696</v>
      </c>
      <c r="I229" s="5">
        <v>628</v>
      </c>
      <c r="J229" s="4" t="s">
        <v>14</v>
      </c>
      <c r="K229">
        <f>Table1[[#This Row],[Delivered Qty]]/Table1[[#This Row],[Ordered Qty]]</f>
        <v>0.9022988505747126</v>
      </c>
      <c r="L229">
        <f>VLOOKUP(Table1[[#This Row],[Supplier ID]],Suppliers!$A$2:$D$6,4,FALSE)</f>
        <v>7</v>
      </c>
      <c r="M229">
        <f>Table1[[#This Row],[Actual Delivery]]-Table1[[#This Row],[Order Date]]-Table1[[#This Row],[std Lead time]]</f>
        <v>0</v>
      </c>
      <c r="N229">
        <f>IF(AND(Table1[[#This Row],[Status]] = "Delivered", Table1[[#This Row],[Actual Delivery]] &lt;= Table1[[#This Row],[Promised Delivery]],Table1[[#This Row],[FillRate]]&gt;=0.95),1,0)</f>
        <v>0</v>
      </c>
      <c r="O229" t="str">
        <f>VLOOKUP(B229,Products!$A$2:$D$9,3,FALSE)</f>
        <v>Raw Material</v>
      </c>
    </row>
    <row r="230" spans="1:15" x14ac:dyDescent="0.25">
      <c r="A230" s="14" t="s">
        <v>256</v>
      </c>
      <c r="B230" s="2" t="s">
        <v>16</v>
      </c>
      <c r="C230" s="2" t="s">
        <v>31</v>
      </c>
      <c r="D230" s="2" t="s">
        <v>28</v>
      </c>
      <c r="E230" s="3">
        <v>45550</v>
      </c>
      <c r="F230" s="20">
        <v>45555</v>
      </c>
      <c r="G230" s="20">
        <v>45554</v>
      </c>
      <c r="H230" s="2">
        <v>1614</v>
      </c>
      <c r="I230" s="2">
        <v>1331</v>
      </c>
      <c r="J230" s="4" t="s">
        <v>14</v>
      </c>
      <c r="K230">
        <f>Table1[[#This Row],[Delivered Qty]]/Table1[[#This Row],[Ordered Qty]]</f>
        <v>0.82465923172242872</v>
      </c>
      <c r="L230">
        <f>VLOOKUP(Table1[[#This Row],[Supplier ID]],Suppliers!$A$2:$D$6,4,FALSE)</f>
        <v>5</v>
      </c>
      <c r="M230">
        <f>Table1[[#This Row],[Actual Delivery]]-Table1[[#This Row],[Order Date]]-Table1[[#This Row],[std Lead time]]</f>
        <v>-1</v>
      </c>
      <c r="N230">
        <f>IF(AND(Table1[[#This Row],[Status]] = "Delivered", Table1[[#This Row],[Actual Delivery]] &lt;= Table1[[#This Row],[Promised Delivery]],Table1[[#This Row],[FillRate]]&gt;=0.95),1,0)</f>
        <v>0</v>
      </c>
      <c r="O230" t="str">
        <f>VLOOKUP(B230,Products!$A$2:$D$9,3,FALSE)</f>
        <v>Packaging</v>
      </c>
    </row>
    <row r="231" spans="1:15" x14ac:dyDescent="0.25">
      <c r="A231" s="15" t="s">
        <v>257</v>
      </c>
      <c r="B231" s="5" t="s">
        <v>44</v>
      </c>
      <c r="C231" s="5" t="s">
        <v>26</v>
      </c>
      <c r="D231" s="5" t="s">
        <v>13</v>
      </c>
      <c r="E231" s="6">
        <v>45552</v>
      </c>
      <c r="F231" s="21">
        <v>45559</v>
      </c>
      <c r="G231" s="21">
        <v>45559</v>
      </c>
      <c r="H231" s="5">
        <v>1179</v>
      </c>
      <c r="I231" s="5">
        <v>1123</v>
      </c>
      <c r="J231" s="4" t="s">
        <v>14</v>
      </c>
      <c r="K231">
        <f>Table1[[#This Row],[Delivered Qty]]/Table1[[#This Row],[Ordered Qty]]</f>
        <v>0.95250212044105176</v>
      </c>
      <c r="L231">
        <f>VLOOKUP(Table1[[#This Row],[Supplier ID]],Suppliers!$A$2:$D$6,4,FALSE)</f>
        <v>7</v>
      </c>
      <c r="M231">
        <f>Table1[[#This Row],[Actual Delivery]]-Table1[[#This Row],[Order Date]]-Table1[[#This Row],[std Lead time]]</f>
        <v>0</v>
      </c>
      <c r="N231">
        <f>IF(AND(Table1[[#This Row],[Status]] = "Delivered", Table1[[#This Row],[Actual Delivery]] &lt;= Table1[[#This Row],[Promised Delivery]],Table1[[#This Row],[FillRate]]&gt;=0.95),1,0)</f>
        <v>1</v>
      </c>
      <c r="O231" t="str">
        <f>VLOOKUP(B231,Products!$A$2:$D$9,3,FALSE)</f>
        <v>Finished Goods</v>
      </c>
    </row>
    <row r="232" spans="1:15" x14ac:dyDescent="0.25">
      <c r="A232" s="14" t="s">
        <v>258</v>
      </c>
      <c r="B232" s="2" t="s">
        <v>30</v>
      </c>
      <c r="C232" s="2" t="s">
        <v>31</v>
      </c>
      <c r="D232" s="2" t="s">
        <v>18</v>
      </c>
      <c r="E232" s="3">
        <v>45553</v>
      </c>
      <c r="F232" s="20">
        <v>45558</v>
      </c>
      <c r="G232" s="20">
        <v>45558</v>
      </c>
      <c r="H232" s="2">
        <v>1781</v>
      </c>
      <c r="I232" s="2">
        <v>1757</v>
      </c>
      <c r="J232" s="4" t="s">
        <v>14</v>
      </c>
      <c r="K232">
        <f>Table1[[#This Row],[Delivered Qty]]/Table1[[#This Row],[Ordered Qty]]</f>
        <v>0.98652442448062883</v>
      </c>
      <c r="L232">
        <f>VLOOKUP(Table1[[#This Row],[Supplier ID]],Suppliers!$A$2:$D$6,4,FALSE)</f>
        <v>5</v>
      </c>
      <c r="M232">
        <f>Table1[[#This Row],[Actual Delivery]]-Table1[[#This Row],[Order Date]]-Table1[[#This Row],[std Lead time]]</f>
        <v>0</v>
      </c>
      <c r="N232">
        <f>IF(AND(Table1[[#This Row],[Status]] = "Delivered", Table1[[#This Row],[Actual Delivery]] &lt;= Table1[[#This Row],[Promised Delivery]],Table1[[#This Row],[FillRate]]&gt;=0.95),1,0)</f>
        <v>1</v>
      </c>
      <c r="O232" t="str">
        <f>VLOOKUP(B232,Products!$A$2:$D$9,3,FALSE)</f>
        <v>Finished Goods</v>
      </c>
    </row>
    <row r="233" spans="1:15" x14ac:dyDescent="0.25">
      <c r="A233" s="15" t="s">
        <v>259</v>
      </c>
      <c r="B233" s="5" t="s">
        <v>37</v>
      </c>
      <c r="C233" s="5" t="s">
        <v>17</v>
      </c>
      <c r="D233" s="5" t="s">
        <v>18</v>
      </c>
      <c r="E233" s="6">
        <v>45542</v>
      </c>
      <c r="F233" s="21">
        <v>45548</v>
      </c>
      <c r="G233" s="21">
        <v>45547</v>
      </c>
      <c r="H233" s="5">
        <v>660</v>
      </c>
      <c r="I233" s="5">
        <v>656</v>
      </c>
      <c r="J233" s="4" t="s">
        <v>14</v>
      </c>
      <c r="K233">
        <f>Table1[[#This Row],[Delivered Qty]]/Table1[[#This Row],[Ordered Qty]]</f>
        <v>0.9939393939393939</v>
      </c>
      <c r="L233">
        <f>VLOOKUP(Table1[[#This Row],[Supplier ID]],Suppliers!$A$2:$D$6,4,FALSE)</f>
        <v>6</v>
      </c>
      <c r="M233">
        <f>Table1[[#This Row],[Actual Delivery]]-Table1[[#This Row],[Order Date]]-Table1[[#This Row],[std Lead time]]</f>
        <v>-1</v>
      </c>
      <c r="N233">
        <f>IF(AND(Table1[[#This Row],[Status]] = "Delivered", Table1[[#This Row],[Actual Delivery]] &lt;= Table1[[#This Row],[Promised Delivery]],Table1[[#This Row],[FillRate]]&gt;=0.95),1,0)</f>
        <v>1</v>
      </c>
      <c r="O233" t="str">
        <f>VLOOKUP(B233,Products!$A$2:$D$9,3,FALSE)</f>
        <v>Raw Material</v>
      </c>
    </row>
    <row r="234" spans="1:15" x14ac:dyDescent="0.25">
      <c r="A234" s="14" t="s">
        <v>260</v>
      </c>
      <c r="B234" s="2" t="s">
        <v>37</v>
      </c>
      <c r="C234" s="2" t="s">
        <v>12</v>
      </c>
      <c r="D234" s="2" t="s">
        <v>13</v>
      </c>
      <c r="E234" s="3">
        <v>45558</v>
      </c>
      <c r="F234" s="20">
        <v>45576</v>
      </c>
      <c r="G234" s="20">
        <v>45576</v>
      </c>
      <c r="H234" s="2">
        <v>760</v>
      </c>
      <c r="I234" s="2">
        <v>705</v>
      </c>
      <c r="J234" s="4" t="s">
        <v>14</v>
      </c>
      <c r="K234">
        <f>Table1[[#This Row],[Delivered Qty]]/Table1[[#This Row],[Ordered Qty]]</f>
        <v>0.92763157894736847</v>
      </c>
      <c r="L234">
        <f>VLOOKUP(Table1[[#This Row],[Supplier ID]],Suppliers!$A$2:$D$6,4,FALSE)</f>
        <v>18</v>
      </c>
      <c r="M234">
        <f>Table1[[#This Row],[Actual Delivery]]-Table1[[#This Row],[Order Date]]-Table1[[#This Row],[std Lead time]]</f>
        <v>0</v>
      </c>
      <c r="N234">
        <f>IF(AND(Table1[[#This Row],[Status]] = "Delivered", Table1[[#This Row],[Actual Delivery]] &lt;= Table1[[#This Row],[Promised Delivery]],Table1[[#This Row],[FillRate]]&gt;=0.95),1,0)</f>
        <v>0</v>
      </c>
      <c r="O234" t="str">
        <f>VLOOKUP(B234,Products!$A$2:$D$9,3,FALSE)</f>
        <v>Raw Material</v>
      </c>
    </row>
    <row r="235" spans="1:15" x14ac:dyDescent="0.25">
      <c r="A235" s="15" t="s">
        <v>261</v>
      </c>
      <c r="B235" s="5" t="s">
        <v>22</v>
      </c>
      <c r="C235" s="5" t="s">
        <v>57</v>
      </c>
      <c r="D235" s="5" t="s">
        <v>23</v>
      </c>
      <c r="E235" s="6">
        <v>45560</v>
      </c>
      <c r="F235" s="21">
        <v>45581</v>
      </c>
      <c r="G235" s="21">
        <v>45579</v>
      </c>
      <c r="H235" s="5">
        <v>909</v>
      </c>
      <c r="I235" s="5">
        <v>902</v>
      </c>
      <c r="J235" s="4" t="s">
        <v>14</v>
      </c>
      <c r="K235">
        <f>Table1[[#This Row],[Delivered Qty]]/Table1[[#This Row],[Ordered Qty]]</f>
        <v>0.99229922992299235</v>
      </c>
      <c r="L235">
        <f>VLOOKUP(Table1[[#This Row],[Supplier ID]],Suppliers!$A$2:$D$6,4,FALSE)</f>
        <v>21</v>
      </c>
      <c r="M235">
        <f>Table1[[#This Row],[Actual Delivery]]-Table1[[#This Row],[Order Date]]-Table1[[#This Row],[std Lead time]]</f>
        <v>-2</v>
      </c>
      <c r="N235">
        <f>IF(AND(Table1[[#This Row],[Status]] = "Delivered", Table1[[#This Row],[Actual Delivery]] &lt;= Table1[[#This Row],[Promised Delivery]],Table1[[#This Row],[FillRate]]&gt;=0.95),1,0)</f>
        <v>1</v>
      </c>
      <c r="O235" t="str">
        <f>VLOOKUP(B235,Products!$A$2:$D$9,3,FALSE)</f>
        <v>Finished Goods</v>
      </c>
    </row>
    <row r="236" spans="1:15" x14ac:dyDescent="0.25">
      <c r="A236" s="14" t="s">
        <v>262</v>
      </c>
      <c r="B236" s="2" t="s">
        <v>37</v>
      </c>
      <c r="C236" s="2" t="s">
        <v>57</v>
      </c>
      <c r="D236" s="2" t="s">
        <v>13</v>
      </c>
      <c r="E236" s="3">
        <v>45542</v>
      </c>
      <c r="F236" s="20">
        <v>45563</v>
      </c>
      <c r="G236" s="20">
        <v>45563</v>
      </c>
      <c r="H236" s="2">
        <v>690</v>
      </c>
      <c r="I236" s="2">
        <v>637</v>
      </c>
      <c r="J236" s="4" t="s">
        <v>14</v>
      </c>
      <c r="K236">
        <f>Table1[[#This Row],[Delivered Qty]]/Table1[[#This Row],[Ordered Qty]]</f>
        <v>0.92318840579710149</v>
      </c>
      <c r="L236">
        <f>VLOOKUP(Table1[[#This Row],[Supplier ID]],Suppliers!$A$2:$D$6,4,FALSE)</f>
        <v>21</v>
      </c>
      <c r="M236">
        <f>Table1[[#This Row],[Actual Delivery]]-Table1[[#This Row],[Order Date]]-Table1[[#This Row],[std Lead time]]</f>
        <v>0</v>
      </c>
      <c r="N236">
        <f>IF(AND(Table1[[#This Row],[Status]] = "Delivered", Table1[[#This Row],[Actual Delivery]] &lt;= Table1[[#This Row],[Promised Delivery]],Table1[[#This Row],[FillRate]]&gt;=0.95),1,0)</f>
        <v>0</v>
      </c>
      <c r="O236" t="str">
        <f>VLOOKUP(B236,Products!$A$2:$D$9,3,FALSE)</f>
        <v>Raw Material</v>
      </c>
    </row>
    <row r="237" spans="1:15" x14ac:dyDescent="0.25">
      <c r="A237" s="15" t="s">
        <v>263</v>
      </c>
      <c r="B237" s="5" t="s">
        <v>20</v>
      </c>
      <c r="C237" s="5" t="s">
        <v>31</v>
      </c>
      <c r="D237" s="5" t="s">
        <v>28</v>
      </c>
      <c r="E237" s="6">
        <v>45539</v>
      </c>
      <c r="F237" s="21">
        <v>45544</v>
      </c>
      <c r="G237" s="21">
        <v>45543</v>
      </c>
      <c r="H237" s="5">
        <v>405</v>
      </c>
      <c r="I237" s="5">
        <v>392</v>
      </c>
      <c r="J237" s="4" t="s">
        <v>14</v>
      </c>
      <c r="K237">
        <f>Table1[[#This Row],[Delivered Qty]]/Table1[[#This Row],[Ordered Qty]]</f>
        <v>0.96790123456790123</v>
      </c>
      <c r="L237">
        <f>VLOOKUP(Table1[[#This Row],[Supplier ID]],Suppliers!$A$2:$D$6,4,FALSE)</f>
        <v>5</v>
      </c>
      <c r="M237">
        <f>Table1[[#This Row],[Actual Delivery]]-Table1[[#This Row],[Order Date]]-Table1[[#This Row],[std Lead time]]</f>
        <v>-1</v>
      </c>
      <c r="N237">
        <f>IF(AND(Table1[[#This Row],[Status]] = "Delivered", Table1[[#This Row],[Actual Delivery]] &lt;= Table1[[#This Row],[Promised Delivery]],Table1[[#This Row],[FillRate]]&gt;=0.95),1,0)</f>
        <v>1</v>
      </c>
      <c r="O237" t="str">
        <f>VLOOKUP(B237,Products!$A$2:$D$9,3,FALSE)</f>
        <v>Raw Material</v>
      </c>
    </row>
    <row r="238" spans="1:15" x14ac:dyDescent="0.25">
      <c r="A238" s="14" t="s">
        <v>264</v>
      </c>
      <c r="B238" s="2" t="s">
        <v>33</v>
      </c>
      <c r="C238" s="2" t="s">
        <v>26</v>
      </c>
      <c r="D238" s="2" t="s">
        <v>13</v>
      </c>
      <c r="E238" s="3">
        <v>45549</v>
      </c>
      <c r="F238" s="20">
        <v>45556</v>
      </c>
      <c r="G238" s="20">
        <v>45554</v>
      </c>
      <c r="H238" s="2">
        <v>1748</v>
      </c>
      <c r="I238" s="2">
        <v>1741</v>
      </c>
      <c r="J238" s="4" t="s">
        <v>14</v>
      </c>
      <c r="K238">
        <f>Table1[[#This Row],[Delivered Qty]]/Table1[[#This Row],[Ordered Qty]]</f>
        <v>0.99599542334096114</v>
      </c>
      <c r="L238">
        <f>VLOOKUP(Table1[[#This Row],[Supplier ID]],Suppliers!$A$2:$D$6,4,FALSE)</f>
        <v>7</v>
      </c>
      <c r="M238">
        <f>Table1[[#This Row],[Actual Delivery]]-Table1[[#This Row],[Order Date]]-Table1[[#This Row],[std Lead time]]</f>
        <v>-2</v>
      </c>
      <c r="N238">
        <f>IF(AND(Table1[[#This Row],[Status]] = "Delivered", Table1[[#This Row],[Actual Delivery]] &lt;= Table1[[#This Row],[Promised Delivery]],Table1[[#This Row],[FillRate]]&gt;=0.95),1,0)</f>
        <v>1</v>
      </c>
      <c r="O238" t="str">
        <f>VLOOKUP(B238,Products!$A$2:$D$9,3,FALSE)</f>
        <v>Raw Material</v>
      </c>
    </row>
    <row r="239" spans="1:15" x14ac:dyDescent="0.25">
      <c r="A239" s="15" t="s">
        <v>265</v>
      </c>
      <c r="B239" s="5" t="s">
        <v>30</v>
      </c>
      <c r="C239" s="5" t="s">
        <v>12</v>
      </c>
      <c r="D239" s="5" t="s">
        <v>28</v>
      </c>
      <c r="E239" s="6">
        <v>45560</v>
      </c>
      <c r="F239" s="21">
        <v>45578</v>
      </c>
      <c r="G239" s="21">
        <v>45576</v>
      </c>
      <c r="H239" s="5">
        <v>558</v>
      </c>
      <c r="I239" s="5">
        <v>525</v>
      </c>
      <c r="J239" s="4" t="s">
        <v>14</v>
      </c>
      <c r="K239">
        <f>Table1[[#This Row],[Delivered Qty]]/Table1[[#This Row],[Ordered Qty]]</f>
        <v>0.94086021505376349</v>
      </c>
      <c r="L239">
        <f>VLOOKUP(Table1[[#This Row],[Supplier ID]],Suppliers!$A$2:$D$6,4,FALSE)</f>
        <v>18</v>
      </c>
      <c r="M239">
        <f>Table1[[#This Row],[Actual Delivery]]-Table1[[#This Row],[Order Date]]-Table1[[#This Row],[std Lead time]]</f>
        <v>-2</v>
      </c>
      <c r="N239">
        <f>IF(AND(Table1[[#This Row],[Status]] = "Delivered", Table1[[#This Row],[Actual Delivery]] &lt;= Table1[[#This Row],[Promised Delivery]],Table1[[#This Row],[FillRate]]&gt;=0.95),1,0)</f>
        <v>0</v>
      </c>
      <c r="O239" t="str">
        <f>VLOOKUP(B239,Products!$A$2:$D$9,3,FALSE)</f>
        <v>Finished Goods</v>
      </c>
    </row>
    <row r="240" spans="1:15" x14ac:dyDescent="0.25">
      <c r="A240" s="14" t="s">
        <v>266</v>
      </c>
      <c r="B240" s="2" t="s">
        <v>33</v>
      </c>
      <c r="C240" s="2" t="s">
        <v>26</v>
      </c>
      <c r="D240" s="2" t="s">
        <v>18</v>
      </c>
      <c r="E240" s="3">
        <v>45561</v>
      </c>
      <c r="F240" s="20">
        <v>45568</v>
      </c>
      <c r="G240" s="20">
        <v>45568</v>
      </c>
      <c r="H240" s="2">
        <v>1986</v>
      </c>
      <c r="I240" s="2">
        <v>1971</v>
      </c>
      <c r="J240" s="4" t="s">
        <v>14</v>
      </c>
      <c r="K240">
        <f>Table1[[#This Row],[Delivered Qty]]/Table1[[#This Row],[Ordered Qty]]</f>
        <v>0.99244712990936557</v>
      </c>
      <c r="L240">
        <f>VLOOKUP(Table1[[#This Row],[Supplier ID]],Suppliers!$A$2:$D$6,4,FALSE)</f>
        <v>7</v>
      </c>
      <c r="M240">
        <f>Table1[[#This Row],[Actual Delivery]]-Table1[[#This Row],[Order Date]]-Table1[[#This Row],[std Lead time]]</f>
        <v>0</v>
      </c>
      <c r="N240">
        <f>IF(AND(Table1[[#This Row],[Status]] = "Delivered", Table1[[#This Row],[Actual Delivery]] &lt;= Table1[[#This Row],[Promised Delivery]],Table1[[#This Row],[FillRate]]&gt;=0.95),1,0)</f>
        <v>1</v>
      </c>
      <c r="O240" t="str">
        <f>VLOOKUP(B240,Products!$A$2:$D$9,3,FALSE)</f>
        <v>Raw Material</v>
      </c>
    </row>
    <row r="241" spans="1:15" x14ac:dyDescent="0.25">
      <c r="A241" s="15" t="s">
        <v>267</v>
      </c>
      <c r="B241" s="5" t="s">
        <v>11</v>
      </c>
      <c r="C241" s="5" t="s">
        <v>26</v>
      </c>
      <c r="D241" s="5" t="s">
        <v>23</v>
      </c>
      <c r="E241" s="6">
        <v>45554</v>
      </c>
      <c r="F241" s="21">
        <v>45561</v>
      </c>
      <c r="G241" s="21">
        <v>45564</v>
      </c>
      <c r="H241" s="5">
        <v>782</v>
      </c>
      <c r="I241" s="5">
        <v>688</v>
      </c>
      <c r="J241" s="4" t="s">
        <v>14</v>
      </c>
      <c r="K241">
        <f>Table1[[#This Row],[Delivered Qty]]/Table1[[#This Row],[Ordered Qty]]</f>
        <v>0.87979539641943738</v>
      </c>
      <c r="L241">
        <f>VLOOKUP(Table1[[#This Row],[Supplier ID]],Suppliers!$A$2:$D$6,4,FALSE)</f>
        <v>7</v>
      </c>
      <c r="M241">
        <f>Table1[[#This Row],[Actual Delivery]]-Table1[[#This Row],[Order Date]]-Table1[[#This Row],[std Lead time]]</f>
        <v>3</v>
      </c>
      <c r="N241">
        <f>IF(AND(Table1[[#This Row],[Status]] = "Delivered", Table1[[#This Row],[Actual Delivery]] &lt;= Table1[[#This Row],[Promised Delivery]],Table1[[#This Row],[FillRate]]&gt;=0.95),1,0)</f>
        <v>0</v>
      </c>
      <c r="O241" t="str">
        <f>VLOOKUP(B241,Products!$A$2:$D$9,3,FALSE)</f>
        <v>Packaging</v>
      </c>
    </row>
    <row r="242" spans="1:15" x14ac:dyDescent="0.25">
      <c r="A242" s="14" t="s">
        <v>268</v>
      </c>
      <c r="B242" s="2" t="s">
        <v>44</v>
      </c>
      <c r="C242" s="2" t="s">
        <v>31</v>
      </c>
      <c r="D242" s="2" t="s">
        <v>18</v>
      </c>
      <c r="E242" s="3">
        <v>45544</v>
      </c>
      <c r="F242" s="20">
        <v>45549</v>
      </c>
      <c r="G242" s="20">
        <v>45552</v>
      </c>
      <c r="H242" s="2">
        <v>532</v>
      </c>
      <c r="I242" s="2">
        <v>517</v>
      </c>
      <c r="J242" s="4" t="s">
        <v>14</v>
      </c>
      <c r="K242">
        <f>Table1[[#This Row],[Delivered Qty]]/Table1[[#This Row],[Ordered Qty]]</f>
        <v>0.97180451127819545</v>
      </c>
      <c r="L242">
        <f>VLOOKUP(Table1[[#This Row],[Supplier ID]],Suppliers!$A$2:$D$6,4,FALSE)</f>
        <v>5</v>
      </c>
      <c r="M242">
        <f>Table1[[#This Row],[Actual Delivery]]-Table1[[#This Row],[Order Date]]-Table1[[#This Row],[std Lead time]]</f>
        <v>3</v>
      </c>
      <c r="N242">
        <f>IF(AND(Table1[[#This Row],[Status]] = "Delivered", Table1[[#This Row],[Actual Delivery]] &lt;= Table1[[#This Row],[Promised Delivery]],Table1[[#This Row],[FillRate]]&gt;=0.95),1,0)</f>
        <v>0</v>
      </c>
      <c r="O242" t="str">
        <f>VLOOKUP(B242,Products!$A$2:$D$9,3,FALSE)</f>
        <v>Finished Goods</v>
      </c>
    </row>
    <row r="243" spans="1:15" x14ac:dyDescent="0.25">
      <c r="A243" s="15" t="s">
        <v>269</v>
      </c>
      <c r="B243" s="5" t="s">
        <v>37</v>
      </c>
      <c r="C243" s="5" t="s">
        <v>31</v>
      </c>
      <c r="D243" s="5" t="s">
        <v>28</v>
      </c>
      <c r="E243" s="6">
        <v>45559</v>
      </c>
      <c r="F243" s="21">
        <v>45564</v>
      </c>
      <c r="G243" s="21">
        <v>45569</v>
      </c>
      <c r="H243" s="5">
        <v>1581</v>
      </c>
      <c r="I243" s="5">
        <v>1542</v>
      </c>
      <c r="J243" s="4" t="s">
        <v>14</v>
      </c>
      <c r="K243">
        <f>Table1[[#This Row],[Delivered Qty]]/Table1[[#This Row],[Ordered Qty]]</f>
        <v>0.97533206831119545</v>
      </c>
      <c r="L243">
        <f>VLOOKUP(Table1[[#This Row],[Supplier ID]],Suppliers!$A$2:$D$6,4,FALSE)</f>
        <v>5</v>
      </c>
      <c r="M243">
        <f>Table1[[#This Row],[Actual Delivery]]-Table1[[#This Row],[Order Date]]-Table1[[#This Row],[std Lead time]]</f>
        <v>5</v>
      </c>
      <c r="N243">
        <f>IF(AND(Table1[[#This Row],[Status]] = "Delivered", Table1[[#This Row],[Actual Delivery]] &lt;= Table1[[#This Row],[Promised Delivery]],Table1[[#This Row],[FillRate]]&gt;=0.95),1,0)</f>
        <v>0</v>
      </c>
      <c r="O243" t="str">
        <f>VLOOKUP(B243,Products!$A$2:$D$9,3,FALSE)</f>
        <v>Raw Material</v>
      </c>
    </row>
    <row r="244" spans="1:15" x14ac:dyDescent="0.25">
      <c r="A244" s="14" t="s">
        <v>270</v>
      </c>
      <c r="B244" s="2" t="s">
        <v>33</v>
      </c>
      <c r="C244" s="2" t="s">
        <v>17</v>
      </c>
      <c r="D244" s="2" t="s">
        <v>18</v>
      </c>
      <c r="E244" s="3">
        <v>45562</v>
      </c>
      <c r="F244" s="20">
        <v>45568</v>
      </c>
      <c r="G244" s="20">
        <v>45566</v>
      </c>
      <c r="H244" s="2">
        <v>1020</v>
      </c>
      <c r="I244" s="2">
        <v>986</v>
      </c>
      <c r="J244" s="4" t="s">
        <v>14</v>
      </c>
      <c r="K244">
        <f>Table1[[#This Row],[Delivered Qty]]/Table1[[#This Row],[Ordered Qty]]</f>
        <v>0.96666666666666667</v>
      </c>
      <c r="L244">
        <f>VLOOKUP(Table1[[#This Row],[Supplier ID]],Suppliers!$A$2:$D$6,4,FALSE)</f>
        <v>6</v>
      </c>
      <c r="M244">
        <f>Table1[[#This Row],[Actual Delivery]]-Table1[[#This Row],[Order Date]]-Table1[[#This Row],[std Lead time]]</f>
        <v>-2</v>
      </c>
      <c r="N244">
        <f>IF(AND(Table1[[#This Row],[Status]] = "Delivered", Table1[[#This Row],[Actual Delivery]] &lt;= Table1[[#This Row],[Promised Delivery]],Table1[[#This Row],[FillRate]]&gt;=0.95),1,0)</f>
        <v>1</v>
      </c>
      <c r="O244" t="str">
        <f>VLOOKUP(B244,Products!$A$2:$D$9,3,FALSE)</f>
        <v>Raw Material</v>
      </c>
    </row>
    <row r="245" spans="1:15" x14ac:dyDescent="0.25">
      <c r="A245" s="15" t="s">
        <v>271</v>
      </c>
      <c r="B245" s="5" t="s">
        <v>33</v>
      </c>
      <c r="C245" s="5" t="s">
        <v>31</v>
      </c>
      <c r="D245" s="5" t="s">
        <v>18</v>
      </c>
      <c r="E245" s="6">
        <v>45546</v>
      </c>
      <c r="F245" s="21">
        <v>45551</v>
      </c>
      <c r="G245" s="21">
        <v>45550</v>
      </c>
      <c r="H245" s="5">
        <v>682</v>
      </c>
      <c r="I245" s="5">
        <v>644</v>
      </c>
      <c r="J245" s="4" t="s">
        <v>14</v>
      </c>
      <c r="K245">
        <f>Table1[[#This Row],[Delivered Qty]]/Table1[[#This Row],[Ordered Qty]]</f>
        <v>0.94428152492668627</v>
      </c>
      <c r="L245">
        <f>VLOOKUP(Table1[[#This Row],[Supplier ID]],Suppliers!$A$2:$D$6,4,FALSE)</f>
        <v>5</v>
      </c>
      <c r="M245">
        <f>Table1[[#This Row],[Actual Delivery]]-Table1[[#This Row],[Order Date]]-Table1[[#This Row],[std Lead time]]</f>
        <v>-1</v>
      </c>
      <c r="N245">
        <f>IF(AND(Table1[[#This Row],[Status]] = "Delivered", Table1[[#This Row],[Actual Delivery]] &lt;= Table1[[#This Row],[Promised Delivery]],Table1[[#This Row],[FillRate]]&gt;=0.95),1,0)</f>
        <v>0</v>
      </c>
      <c r="O245" t="str">
        <f>VLOOKUP(B245,Products!$A$2:$D$9,3,FALSE)</f>
        <v>Raw Material</v>
      </c>
    </row>
    <row r="246" spans="1:15" x14ac:dyDescent="0.25">
      <c r="A246" s="14" t="s">
        <v>272</v>
      </c>
      <c r="B246" s="2" t="s">
        <v>37</v>
      </c>
      <c r="C246" s="2" t="s">
        <v>12</v>
      </c>
      <c r="D246" s="2" t="s">
        <v>23</v>
      </c>
      <c r="E246" s="3">
        <v>45554</v>
      </c>
      <c r="F246" s="20">
        <v>45572</v>
      </c>
      <c r="G246" s="20">
        <v>45570</v>
      </c>
      <c r="H246" s="2">
        <v>1567</v>
      </c>
      <c r="I246" s="2">
        <v>1428</v>
      </c>
      <c r="J246" s="4" t="s">
        <v>14</v>
      </c>
      <c r="K246">
        <f>Table1[[#This Row],[Delivered Qty]]/Table1[[#This Row],[Ordered Qty]]</f>
        <v>0.9112954690491385</v>
      </c>
      <c r="L246">
        <f>VLOOKUP(Table1[[#This Row],[Supplier ID]],Suppliers!$A$2:$D$6,4,FALSE)</f>
        <v>18</v>
      </c>
      <c r="M246">
        <f>Table1[[#This Row],[Actual Delivery]]-Table1[[#This Row],[Order Date]]-Table1[[#This Row],[std Lead time]]</f>
        <v>-2</v>
      </c>
      <c r="N246">
        <f>IF(AND(Table1[[#This Row],[Status]] = "Delivered", Table1[[#This Row],[Actual Delivery]] &lt;= Table1[[#This Row],[Promised Delivery]],Table1[[#This Row],[FillRate]]&gt;=0.95),1,0)</f>
        <v>0</v>
      </c>
      <c r="O246" t="str">
        <f>VLOOKUP(B246,Products!$A$2:$D$9,3,FALSE)</f>
        <v>Raw Material</v>
      </c>
    </row>
    <row r="247" spans="1:15" x14ac:dyDescent="0.25">
      <c r="A247" s="15" t="s">
        <v>273</v>
      </c>
      <c r="B247" s="5" t="s">
        <v>37</v>
      </c>
      <c r="C247" s="5" t="s">
        <v>31</v>
      </c>
      <c r="D247" s="5" t="s">
        <v>18</v>
      </c>
      <c r="E247" s="6">
        <v>45557</v>
      </c>
      <c r="F247" s="21">
        <v>45562</v>
      </c>
      <c r="G247" s="21">
        <v>45562</v>
      </c>
      <c r="H247" s="5">
        <v>804</v>
      </c>
      <c r="I247" s="5">
        <v>753</v>
      </c>
      <c r="J247" s="4" t="s">
        <v>14</v>
      </c>
      <c r="K247">
        <f>Table1[[#This Row],[Delivered Qty]]/Table1[[#This Row],[Ordered Qty]]</f>
        <v>0.93656716417910446</v>
      </c>
      <c r="L247">
        <f>VLOOKUP(Table1[[#This Row],[Supplier ID]],Suppliers!$A$2:$D$6,4,FALSE)</f>
        <v>5</v>
      </c>
      <c r="M247">
        <f>Table1[[#This Row],[Actual Delivery]]-Table1[[#This Row],[Order Date]]-Table1[[#This Row],[std Lead time]]</f>
        <v>0</v>
      </c>
      <c r="N247">
        <f>IF(AND(Table1[[#This Row],[Status]] = "Delivered", Table1[[#This Row],[Actual Delivery]] &lt;= Table1[[#This Row],[Promised Delivery]],Table1[[#This Row],[FillRate]]&gt;=0.95),1,0)</f>
        <v>0</v>
      </c>
      <c r="O247" t="str">
        <f>VLOOKUP(B247,Products!$A$2:$D$9,3,FALSE)</f>
        <v>Raw Material</v>
      </c>
    </row>
    <row r="248" spans="1:15" x14ac:dyDescent="0.25">
      <c r="A248" s="14" t="s">
        <v>274</v>
      </c>
      <c r="B248" s="2" t="s">
        <v>20</v>
      </c>
      <c r="C248" s="2" t="s">
        <v>31</v>
      </c>
      <c r="D248" s="2" t="s">
        <v>13</v>
      </c>
      <c r="E248" s="3">
        <v>45551</v>
      </c>
      <c r="F248" s="20">
        <v>45556</v>
      </c>
      <c r="G248" s="20">
        <v>45556</v>
      </c>
      <c r="H248" s="2">
        <v>965</v>
      </c>
      <c r="I248" s="2">
        <v>908</v>
      </c>
      <c r="J248" s="4" t="s">
        <v>14</v>
      </c>
      <c r="K248">
        <f>Table1[[#This Row],[Delivered Qty]]/Table1[[#This Row],[Ordered Qty]]</f>
        <v>0.94093264248704667</v>
      </c>
      <c r="L248">
        <f>VLOOKUP(Table1[[#This Row],[Supplier ID]],Suppliers!$A$2:$D$6,4,FALSE)</f>
        <v>5</v>
      </c>
      <c r="M248">
        <f>Table1[[#This Row],[Actual Delivery]]-Table1[[#This Row],[Order Date]]-Table1[[#This Row],[std Lead time]]</f>
        <v>0</v>
      </c>
      <c r="N248">
        <f>IF(AND(Table1[[#This Row],[Status]] = "Delivered", Table1[[#This Row],[Actual Delivery]] &lt;= Table1[[#This Row],[Promised Delivery]],Table1[[#This Row],[FillRate]]&gt;=0.95),1,0)</f>
        <v>0</v>
      </c>
      <c r="O248" t="str">
        <f>VLOOKUP(B248,Products!$A$2:$D$9,3,FALSE)</f>
        <v>Raw Material</v>
      </c>
    </row>
    <row r="249" spans="1:15" x14ac:dyDescent="0.25">
      <c r="A249" s="15" t="s">
        <v>275</v>
      </c>
      <c r="B249" s="5" t="s">
        <v>44</v>
      </c>
      <c r="C249" s="5" t="s">
        <v>17</v>
      </c>
      <c r="D249" s="5" t="s">
        <v>13</v>
      </c>
      <c r="E249" s="6">
        <v>45560</v>
      </c>
      <c r="F249" s="21">
        <v>45566</v>
      </c>
      <c r="G249" s="21">
        <v>45566</v>
      </c>
      <c r="H249" s="5">
        <v>1988</v>
      </c>
      <c r="I249" s="5">
        <v>1945</v>
      </c>
      <c r="J249" s="4" t="s">
        <v>14</v>
      </c>
      <c r="K249">
        <f>Table1[[#This Row],[Delivered Qty]]/Table1[[#This Row],[Ordered Qty]]</f>
        <v>0.9783702213279678</v>
      </c>
      <c r="L249">
        <f>VLOOKUP(Table1[[#This Row],[Supplier ID]],Suppliers!$A$2:$D$6,4,FALSE)</f>
        <v>6</v>
      </c>
      <c r="M249">
        <f>Table1[[#This Row],[Actual Delivery]]-Table1[[#This Row],[Order Date]]-Table1[[#This Row],[std Lead time]]</f>
        <v>0</v>
      </c>
      <c r="N249">
        <f>IF(AND(Table1[[#This Row],[Status]] = "Delivered", Table1[[#This Row],[Actual Delivery]] &lt;= Table1[[#This Row],[Promised Delivery]],Table1[[#This Row],[FillRate]]&gt;=0.95),1,0)</f>
        <v>1</v>
      </c>
      <c r="O249" t="str">
        <f>VLOOKUP(B249,Products!$A$2:$D$9,3,FALSE)</f>
        <v>Finished Goods</v>
      </c>
    </row>
    <row r="250" spans="1:15" x14ac:dyDescent="0.25">
      <c r="A250" s="14" t="s">
        <v>276</v>
      </c>
      <c r="B250" s="2" t="s">
        <v>44</v>
      </c>
      <c r="C250" s="2" t="s">
        <v>17</v>
      </c>
      <c r="D250" s="2" t="s">
        <v>23</v>
      </c>
      <c r="E250" s="3">
        <v>45538</v>
      </c>
      <c r="F250" s="20">
        <v>45544</v>
      </c>
      <c r="G250" s="20">
        <v>45544</v>
      </c>
      <c r="H250" s="2">
        <v>1235</v>
      </c>
      <c r="I250" s="2">
        <v>1136</v>
      </c>
      <c r="J250" s="4" t="s">
        <v>14</v>
      </c>
      <c r="K250">
        <f>Table1[[#This Row],[Delivered Qty]]/Table1[[#This Row],[Ordered Qty]]</f>
        <v>0.91983805668016194</v>
      </c>
      <c r="L250">
        <f>VLOOKUP(Table1[[#This Row],[Supplier ID]],Suppliers!$A$2:$D$6,4,FALSE)</f>
        <v>6</v>
      </c>
      <c r="M250">
        <f>Table1[[#This Row],[Actual Delivery]]-Table1[[#This Row],[Order Date]]-Table1[[#This Row],[std Lead time]]</f>
        <v>0</v>
      </c>
      <c r="N250">
        <f>IF(AND(Table1[[#This Row],[Status]] = "Delivered", Table1[[#This Row],[Actual Delivery]] &lt;= Table1[[#This Row],[Promised Delivery]],Table1[[#This Row],[FillRate]]&gt;=0.95),1,0)</f>
        <v>0</v>
      </c>
      <c r="O250" t="str">
        <f>VLOOKUP(B250,Products!$A$2:$D$9,3,FALSE)</f>
        <v>Finished Goods</v>
      </c>
    </row>
    <row r="251" spans="1:15" x14ac:dyDescent="0.25">
      <c r="A251" s="15" t="s">
        <v>277</v>
      </c>
      <c r="B251" s="5" t="s">
        <v>33</v>
      </c>
      <c r="C251" s="5" t="s">
        <v>31</v>
      </c>
      <c r="D251" s="5" t="s">
        <v>23</v>
      </c>
      <c r="E251" s="6">
        <v>45563</v>
      </c>
      <c r="F251" s="21">
        <v>45568</v>
      </c>
      <c r="G251" s="21">
        <v>45566</v>
      </c>
      <c r="H251" s="5">
        <v>1668</v>
      </c>
      <c r="I251" s="5">
        <v>1598</v>
      </c>
      <c r="J251" s="4" t="s">
        <v>14</v>
      </c>
      <c r="K251">
        <f>Table1[[#This Row],[Delivered Qty]]/Table1[[#This Row],[Ordered Qty]]</f>
        <v>0.95803357314148685</v>
      </c>
      <c r="L251">
        <f>VLOOKUP(Table1[[#This Row],[Supplier ID]],Suppliers!$A$2:$D$6,4,FALSE)</f>
        <v>5</v>
      </c>
      <c r="M251">
        <f>Table1[[#This Row],[Actual Delivery]]-Table1[[#This Row],[Order Date]]-Table1[[#This Row],[std Lead time]]</f>
        <v>-2</v>
      </c>
      <c r="N251">
        <f>IF(AND(Table1[[#This Row],[Status]] = "Delivered", Table1[[#This Row],[Actual Delivery]] &lt;= Table1[[#This Row],[Promised Delivery]],Table1[[#This Row],[FillRate]]&gt;=0.95),1,0)</f>
        <v>1</v>
      </c>
      <c r="O251" t="str">
        <f>VLOOKUP(B251,Products!$A$2:$D$9,3,FALSE)</f>
        <v>Raw Material</v>
      </c>
    </row>
    <row r="252" spans="1:15" x14ac:dyDescent="0.25">
      <c r="A252" s="14" t="s">
        <v>278</v>
      </c>
      <c r="B252" s="2" t="s">
        <v>16</v>
      </c>
      <c r="C252" s="2" t="s">
        <v>17</v>
      </c>
      <c r="D252" s="2" t="s">
        <v>18</v>
      </c>
      <c r="E252" s="3">
        <v>45561</v>
      </c>
      <c r="F252" s="20">
        <v>45567</v>
      </c>
      <c r="G252" s="20">
        <v>45567</v>
      </c>
      <c r="H252" s="2">
        <v>1050</v>
      </c>
      <c r="I252" s="2">
        <v>924</v>
      </c>
      <c r="J252" s="4" t="s">
        <v>14</v>
      </c>
      <c r="K252">
        <f>Table1[[#This Row],[Delivered Qty]]/Table1[[#This Row],[Ordered Qty]]</f>
        <v>0.88</v>
      </c>
      <c r="L252">
        <f>VLOOKUP(Table1[[#This Row],[Supplier ID]],Suppliers!$A$2:$D$6,4,FALSE)</f>
        <v>6</v>
      </c>
      <c r="M252">
        <f>Table1[[#This Row],[Actual Delivery]]-Table1[[#This Row],[Order Date]]-Table1[[#This Row],[std Lead time]]</f>
        <v>0</v>
      </c>
      <c r="N252">
        <f>IF(AND(Table1[[#This Row],[Status]] = "Delivered", Table1[[#This Row],[Actual Delivery]] &lt;= Table1[[#This Row],[Promised Delivery]],Table1[[#This Row],[FillRate]]&gt;=0.95),1,0)</f>
        <v>0</v>
      </c>
      <c r="O252" t="str">
        <f>VLOOKUP(B252,Products!$A$2:$D$9,3,FALSE)</f>
        <v>Packaging</v>
      </c>
    </row>
    <row r="253" spans="1:15" x14ac:dyDescent="0.25">
      <c r="A253" s="15" t="s">
        <v>279</v>
      </c>
      <c r="B253" s="5" t="s">
        <v>11</v>
      </c>
      <c r="C253" s="5" t="s">
        <v>17</v>
      </c>
      <c r="D253" s="5" t="s">
        <v>18</v>
      </c>
      <c r="E253" s="6">
        <v>45557</v>
      </c>
      <c r="F253" s="21">
        <v>45563</v>
      </c>
      <c r="G253" s="21">
        <v>45567</v>
      </c>
      <c r="H253" s="5">
        <v>721</v>
      </c>
      <c r="I253" s="5">
        <v>691</v>
      </c>
      <c r="J253" s="4" t="s">
        <v>14</v>
      </c>
      <c r="K253">
        <f>Table1[[#This Row],[Delivered Qty]]/Table1[[#This Row],[Ordered Qty]]</f>
        <v>0.95839112343966715</v>
      </c>
      <c r="L253">
        <f>VLOOKUP(Table1[[#This Row],[Supplier ID]],Suppliers!$A$2:$D$6,4,FALSE)</f>
        <v>6</v>
      </c>
      <c r="M253">
        <f>Table1[[#This Row],[Actual Delivery]]-Table1[[#This Row],[Order Date]]-Table1[[#This Row],[std Lead time]]</f>
        <v>4</v>
      </c>
      <c r="N253">
        <f>IF(AND(Table1[[#This Row],[Status]] = "Delivered", Table1[[#This Row],[Actual Delivery]] &lt;= Table1[[#This Row],[Promised Delivery]],Table1[[#This Row],[FillRate]]&gt;=0.95),1,0)</f>
        <v>0</v>
      </c>
      <c r="O253" t="str">
        <f>VLOOKUP(B253,Products!$A$2:$D$9,3,FALSE)</f>
        <v>Packaging</v>
      </c>
    </row>
    <row r="254" spans="1:15" x14ac:dyDescent="0.25">
      <c r="A254" s="14" t="s">
        <v>280</v>
      </c>
      <c r="B254" s="2" t="s">
        <v>20</v>
      </c>
      <c r="C254" s="2" t="s">
        <v>17</v>
      </c>
      <c r="D254" s="2" t="s">
        <v>28</v>
      </c>
      <c r="E254" s="3">
        <v>45537</v>
      </c>
      <c r="F254" s="20">
        <v>45543</v>
      </c>
      <c r="G254" s="20">
        <v>45541</v>
      </c>
      <c r="H254" s="2">
        <v>1308</v>
      </c>
      <c r="I254" s="2">
        <v>1307</v>
      </c>
      <c r="J254" s="4" t="s">
        <v>14</v>
      </c>
      <c r="K254">
        <f>Table1[[#This Row],[Delivered Qty]]/Table1[[#This Row],[Ordered Qty]]</f>
        <v>0.99923547400611623</v>
      </c>
      <c r="L254">
        <f>VLOOKUP(Table1[[#This Row],[Supplier ID]],Suppliers!$A$2:$D$6,4,FALSE)</f>
        <v>6</v>
      </c>
      <c r="M254">
        <f>Table1[[#This Row],[Actual Delivery]]-Table1[[#This Row],[Order Date]]-Table1[[#This Row],[std Lead time]]</f>
        <v>-2</v>
      </c>
      <c r="N254">
        <f>IF(AND(Table1[[#This Row],[Status]] = "Delivered", Table1[[#This Row],[Actual Delivery]] &lt;= Table1[[#This Row],[Promised Delivery]],Table1[[#This Row],[FillRate]]&gt;=0.95),1,0)</f>
        <v>1</v>
      </c>
      <c r="O254" t="str">
        <f>VLOOKUP(B254,Products!$A$2:$D$9,3,FALSE)</f>
        <v>Raw Material</v>
      </c>
    </row>
    <row r="255" spans="1:15" x14ac:dyDescent="0.25">
      <c r="A255" s="15" t="s">
        <v>281</v>
      </c>
      <c r="B255" s="5" t="s">
        <v>16</v>
      </c>
      <c r="C255" s="5" t="s">
        <v>57</v>
      </c>
      <c r="D255" s="5" t="s">
        <v>28</v>
      </c>
      <c r="E255" s="6">
        <v>45545</v>
      </c>
      <c r="F255" s="21">
        <v>45566</v>
      </c>
      <c r="G255" s="21">
        <v>45566</v>
      </c>
      <c r="H255" s="5">
        <v>1522</v>
      </c>
      <c r="I255" s="5">
        <v>1509</v>
      </c>
      <c r="J255" s="4" t="s">
        <v>14</v>
      </c>
      <c r="K255">
        <f>Table1[[#This Row],[Delivered Qty]]/Table1[[#This Row],[Ordered Qty]]</f>
        <v>0.99145860709592637</v>
      </c>
      <c r="L255">
        <f>VLOOKUP(Table1[[#This Row],[Supplier ID]],Suppliers!$A$2:$D$6,4,FALSE)</f>
        <v>21</v>
      </c>
      <c r="M255">
        <f>Table1[[#This Row],[Actual Delivery]]-Table1[[#This Row],[Order Date]]-Table1[[#This Row],[std Lead time]]</f>
        <v>0</v>
      </c>
      <c r="N255">
        <f>IF(AND(Table1[[#This Row],[Status]] = "Delivered", Table1[[#This Row],[Actual Delivery]] &lt;= Table1[[#This Row],[Promised Delivery]],Table1[[#This Row],[FillRate]]&gt;=0.95),1,0)</f>
        <v>1</v>
      </c>
      <c r="O255" t="str">
        <f>VLOOKUP(B255,Products!$A$2:$D$9,3,FALSE)</f>
        <v>Packaging</v>
      </c>
    </row>
    <row r="256" spans="1:15" x14ac:dyDescent="0.25">
      <c r="A256" s="14" t="s">
        <v>282</v>
      </c>
      <c r="B256" s="2" t="s">
        <v>30</v>
      </c>
      <c r="C256" s="2" t="s">
        <v>57</v>
      </c>
      <c r="D256" s="2" t="s">
        <v>18</v>
      </c>
      <c r="E256" s="3">
        <v>45563</v>
      </c>
      <c r="F256" s="20">
        <v>45584</v>
      </c>
      <c r="G256" s="20">
        <v>45584</v>
      </c>
      <c r="H256" s="2">
        <v>472</v>
      </c>
      <c r="I256" s="2">
        <v>455</v>
      </c>
      <c r="J256" s="4" t="s">
        <v>14</v>
      </c>
      <c r="K256">
        <f>Table1[[#This Row],[Delivered Qty]]/Table1[[#This Row],[Ordered Qty]]</f>
        <v>0.96398305084745761</v>
      </c>
      <c r="L256">
        <f>VLOOKUP(Table1[[#This Row],[Supplier ID]],Suppliers!$A$2:$D$6,4,FALSE)</f>
        <v>21</v>
      </c>
      <c r="M256">
        <f>Table1[[#This Row],[Actual Delivery]]-Table1[[#This Row],[Order Date]]-Table1[[#This Row],[std Lead time]]</f>
        <v>0</v>
      </c>
      <c r="N256">
        <f>IF(AND(Table1[[#This Row],[Status]] = "Delivered", Table1[[#This Row],[Actual Delivery]] &lt;= Table1[[#This Row],[Promised Delivery]],Table1[[#This Row],[FillRate]]&gt;=0.95),1,0)</f>
        <v>1</v>
      </c>
      <c r="O256" t="str">
        <f>VLOOKUP(B256,Products!$A$2:$D$9,3,FALSE)</f>
        <v>Finished Goods</v>
      </c>
    </row>
    <row r="257" spans="1:15" x14ac:dyDescent="0.25">
      <c r="A257" s="15" t="s">
        <v>283</v>
      </c>
      <c r="B257" s="5" t="s">
        <v>30</v>
      </c>
      <c r="C257" s="5" t="s">
        <v>26</v>
      </c>
      <c r="D257" s="5" t="s">
        <v>13</v>
      </c>
      <c r="E257" s="6">
        <v>45553</v>
      </c>
      <c r="F257" s="21">
        <v>45560</v>
      </c>
      <c r="G257" s="21">
        <v>45560</v>
      </c>
      <c r="H257" s="5">
        <v>656</v>
      </c>
      <c r="I257" s="5">
        <v>645</v>
      </c>
      <c r="J257" s="4" t="s">
        <v>14</v>
      </c>
      <c r="K257">
        <f>Table1[[#This Row],[Delivered Qty]]/Table1[[#This Row],[Ordered Qty]]</f>
        <v>0.98323170731707321</v>
      </c>
      <c r="L257">
        <f>VLOOKUP(Table1[[#This Row],[Supplier ID]],Suppliers!$A$2:$D$6,4,FALSE)</f>
        <v>7</v>
      </c>
      <c r="M257">
        <f>Table1[[#This Row],[Actual Delivery]]-Table1[[#This Row],[Order Date]]-Table1[[#This Row],[std Lead time]]</f>
        <v>0</v>
      </c>
      <c r="N257">
        <f>IF(AND(Table1[[#This Row],[Status]] = "Delivered", Table1[[#This Row],[Actual Delivery]] &lt;= Table1[[#This Row],[Promised Delivery]],Table1[[#This Row],[FillRate]]&gt;=0.95),1,0)</f>
        <v>1</v>
      </c>
      <c r="O257" t="str">
        <f>VLOOKUP(B257,Products!$A$2:$D$9,3,FALSE)</f>
        <v>Finished Goods</v>
      </c>
    </row>
    <row r="258" spans="1:15" x14ac:dyDescent="0.25">
      <c r="A258" s="14" t="s">
        <v>284</v>
      </c>
      <c r="B258" s="2" t="s">
        <v>11</v>
      </c>
      <c r="C258" s="2" t="s">
        <v>12</v>
      </c>
      <c r="D258" s="2" t="s">
        <v>18</v>
      </c>
      <c r="E258" s="3">
        <v>45557</v>
      </c>
      <c r="F258" s="20">
        <v>45575</v>
      </c>
      <c r="G258" s="20">
        <v>45574</v>
      </c>
      <c r="H258" s="2">
        <v>517</v>
      </c>
      <c r="I258" s="2">
        <v>434</v>
      </c>
      <c r="J258" s="4" t="s">
        <v>14</v>
      </c>
      <c r="K258">
        <f>Table1[[#This Row],[Delivered Qty]]/Table1[[#This Row],[Ordered Qty]]</f>
        <v>0.839458413926499</v>
      </c>
      <c r="L258">
        <f>VLOOKUP(Table1[[#This Row],[Supplier ID]],Suppliers!$A$2:$D$6,4,FALSE)</f>
        <v>18</v>
      </c>
      <c r="M258">
        <f>Table1[[#This Row],[Actual Delivery]]-Table1[[#This Row],[Order Date]]-Table1[[#This Row],[std Lead time]]</f>
        <v>-1</v>
      </c>
      <c r="N258">
        <f>IF(AND(Table1[[#This Row],[Status]] = "Delivered", Table1[[#This Row],[Actual Delivery]] &lt;= Table1[[#This Row],[Promised Delivery]],Table1[[#This Row],[FillRate]]&gt;=0.95),1,0)</f>
        <v>0</v>
      </c>
      <c r="O258" t="str">
        <f>VLOOKUP(B258,Products!$A$2:$D$9,3,FALSE)</f>
        <v>Packaging</v>
      </c>
    </row>
    <row r="259" spans="1:15" x14ac:dyDescent="0.25">
      <c r="A259" s="15" t="s">
        <v>285</v>
      </c>
      <c r="B259" s="5" t="s">
        <v>16</v>
      </c>
      <c r="C259" s="5" t="s">
        <v>26</v>
      </c>
      <c r="D259" s="5" t="s">
        <v>18</v>
      </c>
      <c r="E259" s="6">
        <v>45555</v>
      </c>
      <c r="F259" s="21">
        <v>45562</v>
      </c>
      <c r="G259" s="21">
        <v>45560</v>
      </c>
      <c r="H259" s="5">
        <v>406</v>
      </c>
      <c r="I259" s="5">
        <v>369</v>
      </c>
      <c r="J259" s="4" t="s">
        <v>14</v>
      </c>
      <c r="K259">
        <f>Table1[[#This Row],[Delivered Qty]]/Table1[[#This Row],[Ordered Qty]]</f>
        <v>0.90886699507389157</v>
      </c>
      <c r="L259">
        <f>VLOOKUP(Table1[[#This Row],[Supplier ID]],Suppliers!$A$2:$D$6,4,FALSE)</f>
        <v>7</v>
      </c>
      <c r="M259">
        <f>Table1[[#This Row],[Actual Delivery]]-Table1[[#This Row],[Order Date]]-Table1[[#This Row],[std Lead time]]</f>
        <v>-2</v>
      </c>
      <c r="N259">
        <f>IF(AND(Table1[[#This Row],[Status]] = "Delivered", Table1[[#This Row],[Actual Delivery]] &lt;= Table1[[#This Row],[Promised Delivery]],Table1[[#This Row],[FillRate]]&gt;=0.95),1,0)</f>
        <v>0</v>
      </c>
      <c r="O259" t="str">
        <f>VLOOKUP(B259,Products!$A$2:$D$9,3,FALSE)</f>
        <v>Packaging</v>
      </c>
    </row>
    <row r="260" spans="1:15" x14ac:dyDescent="0.25">
      <c r="A260" s="14" t="s">
        <v>286</v>
      </c>
      <c r="B260" s="2" t="s">
        <v>44</v>
      </c>
      <c r="C260" s="2" t="s">
        <v>17</v>
      </c>
      <c r="D260" s="2" t="s">
        <v>28</v>
      </c>
      <c r="E260" s="3">
        <v>45543</v>
      </c>
      <c r="F260" s="20">
        <v>45549</v>
      </c>
      <c r="G260" s="20">
        <v>45547</v>
      </c>
      <c r="H260" s="2">
        <v>1305</v>
      </c>
      <c r="I260" s="2">
        <v>1202</v>
      </c>
      <c r="J260" s="4" t="s">
        <v>14</v>
      </c>
      <c r="K260">
        <f>Table1[[#This Row],[Delivered Qty]]/Table1[[#This Row],[Ordered Qty]]</f>
        <v>0.92107279693486588</v>
      </c>
      <c r="L260">
        <f>VLOOKUP(Table1[[#This Row],[Supplier ID]],Suppliers!$A$2:$D$6,4,FALSE)</f>
        <v>6</v>
      </c>
      <c r="M260">
        <f>Table1[[#This Row],[Actual Delivery]]-Table1[[#This Row],[Order Date]]-Table1[[#This Row],[std Lead time]]</f>
        <v>-2</v>
      </c>
      <c r="N260">
        <f>IF(AND(Table1[[#This Row],[Status]] = "Delivered", Table1[[#This Row],[Actual Delivery]] &lt;= Table1[[#This Row],[Promised Delivery]],Table1[[#This Row],[FillRate]]&gt;=0.95),1,0)</f>
        <v>0</v>
      </c>
      <c r="O260" t="str">
        <f>VLOOKUP(B260,Products!$A$2:$D$9,3,FALSE)</f>
        <v>Finished Goods</v>
      </c>
    </row>
    <row r="261" spans="1:15" x14ac:dyDescent="0.25">
      <c r="A261" s="15" t="s">
        <v>287</v>
      </c>
      <c r="B261" s="5" t="s">
        <v>11</v>
      </c>
      <c r="C261" s="5" t="s">
        <v>31</v>
      </c>
      <c r="D261" s="5" t="s">
        <v>23</v>
      </c>
      <c r="E261" s="6">
        <v>45543</v>
      </c>
      <c r="F261" s="21">
        <v>45548</v>
      </c>
      <c r="G261" s="21">
        <v>45548</v>
      </c>
      <c r="H261" s="5">
        <v>1876</v>
      </c>
      <c r="I261" s="5">
        <v>1595</v>
      </c>
      <c r="J261" s="4" t="s">
        <v>14</v>
      </c>
      <c r="K261">
        <f>Table1[[#This Row],[Delivered Qty]]/Table1[[#This Row],[Ordered Qty]]</f>
        <v>0.85021321961620466</v>
      </c>
      <c r="L261">
        <f>VLOOKUP(Table1[[#This Row],[Supplier ID]],Suppliers!$A$2:$D$6,4,FALSE)</f>
        <v>5</v>
      </c>
      <c r="M261">
        <f>Table1[[#This Row],[Actual Delivery]]-Table1[[#This Row],[Order Date]]-Table1[[#This Row],[std Lead time]]</f>
        <v>0</v>
      </c>
      <c r="N261">
        <f>IF(AND(Table1[[#This Row],[Status]] = "Delivered", Table1[[#This Row],[Actual Delivery]] &lt;= Table1[[#This Row],[Promised Delivery]],Table1[[#This Row],[FillRate]]&gt;=0.95),1,0)</f>
        <v>0</v>
      </c>
      <c r="O261" t="str">
        <f>VLOOKUP(B261,Products!$A$2:$D$9,3,FALSE)</f>
        <v>Packaging</v>
      </c>
    </row>
    <row r="262" spans="1:15" x14ac:dyDescent="0.25">
      <c r="A262" s="14" t="s">
        <v>288</v>
      </c>
      <c r="B262" s="2" t="s">
        <v>37</v>
      </c>
      <c r="C262" s="2" t="s">
        <v>31</v>
      </c>
      <c r="D262" s="2" t="s">
        <v>13</v>
      </c>
      <c r="E262" s="3">
        <v>45549</v>
      </c>
      <c r="F262" s="20">
        <v>45554</v>
      </c>
      <c r="G262" s="20">
        <v>45554</v>
      </c>
      <c r="H262" s="2">
        <v>1411</v>
      </c>
      <c r="I262" s="2">
        <v>1394</v>
      </c>
      <c r="J262" s="4" t="s">
        <v>14</v>
      </c>
      <c r="K262">
        <f>Table1[[#This Row],[Delivered Qty]]/Table1[[#This Row],[Ordered Qty]]</f>
        <v>0.98795180722891562</v>
      </c>
      <c r="L262">
        <f>VLOOKUP(Table1[[#This Row],[Supplier ID]],Suppliers!$A$2:$D$6,4,FALSE)</f>
        <v>5</v>
      </c>
      <c r="M262">
        <f>Table1[[#This Row],[Actual Delivery]]-Table1[[#This Row],[Order Date]]-Table1[[#This Row],[std Lead time]]</f>
        <v>0</v>
      </c>
      <c r="N262">
        <f>IF(AND(Table1[[#This Row],[Status]] = "Delivered", Table1[[#This Row],[Actual Delivery]] &lt;= Table1[[#This Row],[Promised Delivery]],Table1[[#This Row],[FillRate]]&gt;=0.95),1,0)</f>
        <v>1</v>
      </c>
      <c r="O262" t="str">
        <f>VLOOKUP(B262,Products!$A$2:$D$9,3,FALSE)</f>
        <v>Raw Material</v>
      </c>
    </row>
    <row r="263" spans="1:15" x14ac:dyDescent="0.25">
      <c r="A263" s="15" t="s">
        <v>289</v>
      </c>
      <c r="B263" s="5" t="s">
        <v>33</v>
      </c>
      <c r="C263" s="5" t="s">
        <v>57</v>
      </c>
      <c r="D263" s="5" t="s">
        <v>18</v>
      </c>
      <c r="E263" s="6">
        <v>45537</v>
      </c>
      <c r="F263" s="21">
        <v>45558</v>
      </c>
      <c r="G263" s="21">
        <v>45557</v>
      </c>
      <c r="H263" s="5">
        <v>1036</v>
      </c>
      <c r="I263" s="5">
        <v>947</v>
      </c>
      <c r="J263" s="4" t="s">
        <v>14</v>
      </c>
      <c r="K263">
        <f>Table1[[#This Row],[Delivered Qty]]/Table1[[#This Row],[Ordered Qty]]</f>
        <v>0.9140926640926641</v>
      </c>
      <c r="L263">
        <f>VLOOKUP(Table1[[#This Row],[Supplier ID]],Suppliers!$A$2:$D$6,4,FALSE)</f>
        <v>21</v>
      </c>
      <c r="M263">
        <f>Table1[[#This Row],[Actual Delivery]]-Table1[[#This Row],[Order Date]]-Table1[[#This Row],[std Lead time]]</f>
        <v>-1</v>
      </c>
      <c r="N263">
        <f>IF(AND(Table1[[#This Row],[Status]] = "Delivered", Table1[[#This Row],[Actual Delivery]] &lt;= Table1[[#This Row],[Promised Delivery]],Table1[[#This Row],[FillRate]]&gt;=0.95),1,0)</f>
        <v>0</v>
      </c>
      <c r="O263" t="str">
        <f>VLOOKUP(B263,Products!$A$2:$D$9,3,FALSE)</f>
        <v>Raw Material</v>
      </c>
    </row>
    <row r="264" spans="1:15" x14ac:dyDescent="0.25">
      <c r="A264" s="14" t="s">
        <v>290</v>
      </c>
      <c r="B264" s="2" t="s">
        <v>22</v>
      </c>
      <c r="C264" s="2" t="s">
        <v>31</v>
      </c>
      <c r="D264" s="2" t="s">
        <v>18</v>
      </c>
      <c r="E264" s="3">
        <v>45543</v>
      </c>
      <c r="F264" s="20">
        <v>45548</v>
      </c>
      <c r="G264" s="20">
        <v>45548</v>
      </c>
      <c r="H264" s="2">
        <v>495</v>
      </c>
      <c r="I264" s="2">
        <v>485</v>
      </c>
      <c r="J264" s="4" t="s">
        <v>14</v>
      </c>
      <c r="K264">
        <f>Table1[[#This Row],[Delivered Qty]]/Table1[[#This Row],[Ordered Qty]]</f>
        <v>0.97979797979797978</v>
      </c>
      <c r="L264">
        <f>VLOOKUP(Table1[[#This Row],[Supplier ID]],Suppliers!$A$2:$D$6,4,FALSE)</f>
        <v>5</v>
      </c>
      <c r="M264">
        <f>Table1[[#This Row],[Actual Delivery]]-Table1[[#This Row],[Order Date]]-Table1[[#This Row],[std Lead time]]</f>
        <v>0</v>
      </c>
      <c r="N264">
        <f>IF(AND(Table1[[#This Row],[Status]] = "Delivered", Table1[[#This Row],[Actual Delivery]] &lt;= Table1[[#This Row],[Promised Delivery]],Table1[[#This Row],[FillRate]]&gt;=0.95),1,0)</f>
        <v>1</v>
      </c>
      <c r="O264" t="str">
        <f>VLOOKUP(B264,Products!$A$2:$D$9,3,FALSE)</f>
        <v>Finished Goods</v>
      </c>
    </row>
    <row r="265" spans="1:15" x14ac:dyDescent="0.25">
      <c r="A265" s="15" t="s">
        <v>291</v>
      </c>
      <c r="B265" s="5" t="s">
        <v>11</v>
      </c>
      <c r="C265" s="5" t="s">
        <v>17</v>
      </c>
      <c r="D265" s="5" t="s">
        <v>18</v>
      </c>
      <c r="E265" s="6">
        <v>45549</v>
      </c>
      <c r="F265" s="21">
        <v>45555</v>
      </c>
      <c r="G265" s="21">
        <v>45554</v>
      </c>
      <c r="H265" s="5">
        <v>616</v>
      </c>
      <c r="I265" s="5">
        <v>525</v>
      </c>
      <c r="J265" s="4" t="s">
        <v>14</v>
      </c>
      <c r="K265">
        <f>Table1[[#This Row],[Delivered Qty]]/Table1[[#This Row],[Ordered Qty]]</f>
        <v>0.85227272727272729</v>
      </c>
      <c r="L265">
        <f>VLOOKUP(Table1[[#This Row],[Supplier ID]],Suppliers!$A$2:$D$6,4,FALSE)</f>
        <v>6</v>
      </c>
      <c r="M265">
        <f>Table1[[#This Row],[Actual Delivery]]-Table1[[#This Row],[Order Date]]-Table1[[#This Row],[std Lead time]]</f>
        <v>-1</v>
      </c>
      <c r="N265">
        <f>IF(AND(Table1[[#This Row],[Status]] = "Delivered", Table1[[#This Row],[Actual Delivery]] &lt;= Table1[[#This Row],[Promised Delivery]],Table1[[#This Row],[FillRate]]&gt;=0.95),1,0)</f>
        <v>0</v>
      </c>
      <c r="O265" t="str">
        <f>VLOOKUP(B265,Products!$A$2:$D$9,3,FALSE)</f>
        <v>Packaging</v>
      </c>
    </row>
    <row r="266" spans="1:15" x14ac:dyDescent="0.25">
      <c r="A266" s="14" t="s">
        <v>292</v>
      </c>
      <c r="B266" s="2" t="s">
        <v>16</v>
      </c>
      <c r="C266" s="2" t="s">
        <v>57</v>
      </c>
      <c r="D266" s="2" t="s">
        <v>23</v>
      </c>
      <c r="E266" s="3">
        <v>45538</v>
      </c>
      <c r="F266" s="20">
        <v>45559</v>
      </c>
      <c r="G266" s="20">
        <v>45559</v>
      </c>
      <c r="H266" s="2">
        <v>280</v>
      </c>
      <c r="I266" s="2">
        <v>272</v>
      </c>
      <c r="J266" s="4" t="s">
        <v>14</v>
      </c>
      <c r="K266">
        <f>Table1[[#This Row],[Delivered Qty]]/Table1[[#This Row],[Ordered Qty]]</f>
        <v>0.97142857142857142</v>
      </c>
      <c r="L266">
        <f>VLOOKUP(Table1[[#This Row],[Supplier ID]],Suppliers!$A$2:$D$6,4,FALSE)</f>
        <v>21</v>
      </c>
      <c r="M266">
        <f>Table1[[#This Row],[Actual Delivery]]-Table1[[#This Row],[Order Date]]-Table1[[#This Row],[std Lead time]]</f>
        <v>0</v>
      </c>
      <c r="N266">
        <f>IF(AND(Table1[[#This Row],[Status]] = "Delivered", Table1[[#This Row],[Actual Delivery]] &lt;= Table1[[#This Row],[Promised Delivery]],Table1[[#This Row],[FillRate]]&gt;=0.95),1,0)</f>
        <v>1</v>
      </c>
      <c r="O266" t="str">
        <f>VLOOKUP(B266,Products!$A$2:$D$9,3,FALSE)</f>
        <v>Packaging</v>
      </c>
    </row>
    <row r="267" spans="1:15" x14ac:dyDescent="0.25">
      <c r="A267" s="15" t="s">
        <v>293</v>
      </c>
      <c r="B267" s="5" t="s">
        <v>20</v>
      </c>
      <c r="C267" s="5" t="s">
        <v>17</v>
      </c>
      <c r="D267" s="5" t="s">
        <v>13</v>
      </c>
      <c r="E267" s="6">
        <v>45551</v>
      </c>
      <c r="F267" s="21">
        <v>45557</v>
      </c>
      <c r="G267" s="21">
        <v>45560</v>
      </c>
      <c r="H267" s="5">
        <v>820</v>
      </c>
      <c r="I267" s="5">
        <v>816</v>
      </c>
      <c r="J267" s="4" t="s">
        <v>14</v>
      </c>
      <c r="K267">
        <f>Table1[[#This Row],[Delivered Qty]]/Table1[[#This Row],[Ordered Qty]]</f>
        <v>0.99512195121951219</v>
      </c>
      <c r="L267">
        <f>VLOOKUP(Table1[[#This Row],[Supplier ID]],Suppliers!$A$2:$D$6,4,FALSE)</f>
        <v>6</v>
      </c>
      <c r="M267">
        <f>Table1[[#This Row],[Actual Delivery]]-Table1[[#This Row],[Order Date]]-Table1[[#This Row],[std Lead time]]</f>
        <v>3</v>
      </c>
      <c r="N267">
        <f>IF(AND(Table1[[#This Row],[Status]] = "Delivered", Table1[[#This Row],[Actual Delivery]] &lt;= Table1[[#This Row],[Promised Delivery]],Table1[[#This Row],[FillRate]]&gt;=0.95),1,0)</f>
        <v>0</v>
      </c>
      <c r="O267" t="str">
        <f>VLOOKUP(B267,Products!$A$2:$D$9,3,FALSE)</f>
        <v>Raw Material</v>
      </c>
    </row>
    <row r="268" spans="1:15" x14ac:dyDescent="0.25">
      <c r="A268" s="14" t="s">
        <v>294</v>
      </c>
      <c r="B268" s="2" t="s">
        <v>11</v>
      </c>
      <c r="C268" s="2" t="s">
        <v>31</v>
      </c>
      <c r="D268" s="2" t="s">
        <v>13</v>
      </c>
      <c r="E268" s="3">
        <v>45559</v>
      </c>
      <c r="F268" s="20">
        <v>45564</v>
      </c>
      <c r="G268" s="20">
        <v>45568</v>
      </c>
      <c r="H268" s="2">
        <v>696</v>
      </c>
      <c r="I268" s="2">
        <v>649</v>
      </c>
      <c r="J268" s="4" t="s">
        <v>14</v>
      </c>
      <c r="K268">
        <f>Table1[[#This Row],[Delivered Qty]]/Table1[[#This Row],[Ordered Qty]]</f>
        <v>0.93247126436781613</v>
      </c>
      <c r="L268">
        <f>VLOOKUP(Table1[[#This Row],[Supplier ID]],Suppliers!$A$2:$D$6,4,FALSE)</f>
        <v>5</v>
      </c>
      <c r="M268">
        <f>Table1[[#This Row],[Actual Delivery]]-Table1[[#This Row],[Order Date]]-Table1[[#This Row],[std Lead time]]</f>
        <v>4</v>
      </c>
      <c r="N268">
        <f>IF(AND(Table1[[#This Row],[Status]] = "Delivered", Table1[[#This Row],[Actual Delivery]] &lt;= Table1[[#This Row],[Promised Delivery]],Table1[[#This Row],[FillRate]]&gt;=0.95),1,0)</f>
        <v>0</v>
      </c>
      <c r="O268" t="str">
        <f>VLOOKUP(B268,Products!$A$2:$D$9,3,FALSE)</f>
        <v>Packaging</v>
      </c>
    </row>
    <row r="269" spans="1:15" x14ac:dyDescent="0.25">
      <c r="A269" s="15" t="s">
        <v>295</v>
      </c>
      <c r="B269" s="5" t="s">
        <v>20</v>
      </c>
      <c r="C269" s="5" t="s">
        <v>57</v>
      </c>
      <c r="D269" s="5" t="s">
        <v>13</v>
      </c>
      <c r="E269" s="6">
        <v>45553</v>
      </c>
      <c r="F269" s="21">
        <v>45574</v>
      </c>
      <c r="G269" s="21">
        <v>45573</v>
      </c>
      <c r="H269" s="5">
        <v>831</v>
      </c>
      <c r="I269" s="5">
        <v>769</v>
      </c>
      <c r="J269" s="4" t="s">
        <v>14</v>
      </c>
      <c r="K269">
        <f>Table1[[#This Row],[Delivered Qty]]/Table1[[#This Row],[Ordered Qty]]</f>
        <v>0.92539109506618533</v>
      </c>
      <c r="L269">
        <f>VLOOKUP(Table1[[#This Row],[Supplier ID]],Suppliers!$A$2:$D$6,4,FALSE)</f>
        <v>21</v>
      </c>
      <c r="M269">
        <f>Table1[[#This Row],[Actual Delivery]]-Table1[[#This Row],[Order Date]]-Table1[[#This Row],[std Lead time]]</f>
        <v>-1</v>
      </c>
      <c r="N269">
        <f>IF(AND(Table1[[#This Row],[Status]] = "Delivered", Table1[[#This Row],[Actual Delivery]] &lt;= Table1[[#This Row],[Promised Delivery]],Table1[[#This Row],[FillRate]]&gt;=0.95),1,0)</f>
        <v>0</v>
      </c>
      <c r="O269" t="str">
        <f>VLOOKUP(B269,Products!$A$2:$D$9,3,FALSE)</f>
        <v>Raw Material</v>
      </c>
    </row>
    <row r="270" spans="1:15" x14ac:dyDescent="0.25">
      <c r="A270" s="14" t="s">
        <v>296</v>
      </c>
      <c r="B270" s="2" t="s">
        <v>44</v>
      </c>
      <c r="C270" s="2" t="s">
        <v>57</v>
      </c>
      <c r="D270" s="2" t="s">
        <v>28</v>
      </c>
      <c r="E270" s="3">
        <v>45561</v>
      </c>
      <c r="F270" s="20">
        <v>45582</v>
      </c>
      <c r="G270" s="20">
        <v>45581</v>
      </c>
      <c r="H270" s="2">
        <v>293</v>
      </c>
      <c r="I270" s="2">
        <v>280</v>
      </c>
      <c r="J270" s="4" t="s">
        <v>14</v>
      </c>
      <c r="K270">
        <f>Table1[[#This Row],[Delivered Qty]]/Table1[[#This Row],[Ordered Qty]]</f>
        <v>0.95563139931740615</v>
      </c>
      <c r="L270">
        <f>VLOOKUP(Table1[[#This Row],[Supplier ID]],Suppliers!$A$2:$D$6,4,FALSE)</f>
        <v>21</v>
      </c>
      <c r="M270">
        <f>Table1[[#This Row],[Actual Delivery]]-Table1[[#This Row],[Order Date]]-Table1[[#This Row],[std Lead time]]</f>
        <v>-1</v>
      </c>
      <c r="N270">
        <f>IF(AND(Table1[[#This Row],[Status]] = "Delivered", Table1[[#This Row],[Actual Delivery]] &lt;= Table1[[#This Row],[Promised Delivery]],Table1[[#This Row],[FillRate]]&gt;=0.95),1,0)</f>
        <v>1</v>
      </c>
      <c r="O270" t="str">
        <f>VLOOKUP(B270,Products!$A$2:$D$9,3,FALSE)</f>
        <v>Finished Goods</v>
      </c>
    </row>
    <row r="271" spans="1:15" x14ac:dyDescent="0.25">
      <c r="A271" s="15" t="s">
        <v>297</v>
      </c>
      <c r="B271" s="5" t="s">
        <v>20</v>
      </c>
      <c r="C271" s="5" t="s">
        <v>31</v>
      </c>
      <c r="D271" s="5" t="s">
        <v>28</v>
      </c>
      <c r="E271" s="6">
        <v>45544</v>
      </c>
      <c r="F271" s="21">
        <v>45549</v>
      </c>
      <c r="G271" s="21">
        <v>45547</v>
      </c>
      <c r="H271" s="5">
        <v>875</v>
      </c>
      <c r="I271" s="5">
        <v>807</v>
      </c>
      <c r="J271" s="4" t="s">
        <v>14</v>
      </c>
      <c r="K271">
        <f>Table1[[#This Row],[Delivered Qty]]/Table1[[#This Row],[Ordered Qty]]</f>
        <v>0.92228571428571426</v>
      </c>
      <c r="L271">
        <f>VLOOKUP(Table1[[#This Row],[Supplier ID]],Suppliers!$A$2:$D$6,4,FALSE)</f>
        <v>5</v>
      </c>
      <c r="M271">
        <f>Table1[[#This Row],[Actual Delivery]]-Table1[[#This Row],[Order Date]]-Table1[[#This Row],[std Lead time]]</f>
        <v>-2</v>
      </c>
      <c r="N271">
        <f>IF(AND(Table1[[#This Row],[Status]] = "Delivered", Table1[[#This Row],[Actual Delivery]] &lt;= Table1[[#This Row],[Promised Delivery]],Table1[[#This Row],[FillRate]]&gt;=0.95),1,0)</f>
        <v>0</v>
      </c>
      <c r="O271" t="str">
        <f>VLOOKUP(B271,Products!$A$2:$D$9,3,FALSE)</f>
        <v>Raw Material</v>
      </c>
    </row>
    <row r="272" spans="1:15" x14ac:dyDescent="0.25">
      <c r="A272" s="14" t="s">
        <v>298</v>
      </c>
      <c r="B272" s="2" t="s">
        <v>20</v>
      </c>
      <c r="C272" s="2" t="s">
        <v>57</v>
      </c>
      <c r="D272" s="2" t="s">
        <v>23</v>
      </c>
      <c r="E272" s="3">
        <v>45544</v>
      </c>
      <c r="F272" s="20">
        <v>45565</v>
      </c>
      <c r="G272" s="20">
        <v>45564</v>
      </c>
      <c r="H272" s="2">
        <v>546</v>
      </c>
      <c r="I272" s="2">
        <v>499</v>
      </c>
      <c r="J272" s="4" t="s">
        <v>14</v>
      </c>
      <c r="K272">
        <f>Table1[[#This Row],[Delivered Qty]]/Table1[[#This Row],[Ordered Qty]]</f>
        <v>0.91391941391941389</v>
      </c>
      <c r="L272">
        <f>VLOOKUP(Table1[[#This Row],[Supplier ID]],Suppliers!$A$2:$D$6,4,FALSE)</f>
        <v>21</v>
      </c>
      <c r="M272">
        <f>Table1[[#This Row],[Actual Delivery]]-Table1[[#This Row],[Order Date]]-Table1[[#This Row],[std Lead time]]</f>
        <v>-1</v>
      </c>
      <c r="N272">
        <f>IF(AND(Table1[[#This Row],[Status]] = "Delivered", Table1[[#This Row],[Actual Delivery]] &lt;= Table1[[#This Row],[Promised Delivery]],Table1[[#This Row],[FillRate]]&gt;=0.95),1,0)</f>
        <v>0</v>
      </c>
      <c r="O272" t="str">
        <f>VLOOKUP(B272,Products!$A$2:$D$9,3,FALSE)</f>
        <v>Raw Material</v>
      </c>
    </row>
    <row r="273" spans="1:15" x14ac:dyDescent="0.25">
      <c r="A273" s="15" t="s">
        <v>299</v>
      </c>
      <c r="B273" s="5" t="s">
        <v>44</v>
      </c>
      <c r="C273" s="5" t="s">
        <v>31</v>
      </c>
      <c r="D273" s="5" t="s">
        <v>28</v>
      </c>
      <c r="E273" s="6">
        <v>45552</v>
      </c>
      <c r="F273" s="21">
        <v>45557</v>
      </c>
      <c r="G273" s="21">
        <v>45558</v>
      </c>
      <c r="H273" s="5">
        <v>1875</v>
      </c>
      <c r="I273" s="5">
        <v>1812</v>
      </c>
      <c r="J273" s="4" t="s">
        <v>14</v>
      </c>
      <c r="K273">
        <f>Table1[[#This Row],[Delivered Qty]]/Table1[[#This Row],[Ordered Qty]]</f>
        <v>0.96640000000000004</v>
      </c>
      <c r="L273">
        <f>VLOOKUP(Table1[[#This Row],[Supplier ID]],Suppliers!$A$2:$D$6,4,FALSE)</f>
        <v>5</v>
      </c>
      <c r="M273">
        <f>Table1[[#This Row],[Actual Delivery]]-Table1[[#This Row],[Order Date]]-Table1[[#This Row],[std Lead time]]</f>
        <v>1</v>
      </c>
      <c r="N273">
        <f>IF(AND(Table1[[#This Row],[Status]] = "Delivered", Table1[[#This Row],[Actual Delivery]] &lt;= Table1[[#This Row],[Promised Delivery]],Table1[[#This Row],[FillRate]]&gt;=0.95),1,0)</f>
        <v>0</v>
      </c>
      <c r="O273" t="str">
        <f>VLOOKUP(B273,Products!$A$2:$D$9,3,FALSE)</f>
        <v>Finished Goods</v>
      </c>
    </row>
    <row r="274" spans="1:15" x14ac:dyDescent="0.25">
      <c r="A274" s="14" t="s">
        <v>300</v>
      </c>
      <c r="B274" s="2" t="s">
        <v>11</v>
      </c>
      <c r="C274" s="2" t="s">
        <v>57</v>
      </c>
      <c r="D274" s="2" t="s">
        <v>13</v>
      </c>
      <c r="E274" s="3">
        <v>45562</v>
      </c>
      <c r="F274" s="20">
        <v>45583</v>
      </c>
      <c r="G274" s="20">
        <v>45583</v>
      </c>
      <c r="H274" s="2">
        <v>1133</v>
      </c>
      <c r="I274" s="2">
        <v>976</v>
      </c>
      <c r="J274" s="4" t="s">
        <v>14</v>
      </c>
      <c r="K274">
        <f>Table1[[#This Row],[Delivered Qty]]/Table1[[#This Row],[Ordered Qty]]</f>
        <v>0.86142983230361869</v>
      </c>
      <c r="L274">
        <f>VLOOKUP(Table1[[#This Row],[Supplier ID]],Suppliers!$A$2:$D$6,4,FALSE)</f>
        <v>21</v>
      </c>
      <c r="M274">
        <f>Table1[[#This Row],[Actual Delivery]]-Table1[[#This Row],[Order Date]]-Table1[[#This Row],[std Lead time]]</f>
        <v>0</v>
      </c>
      <c r="N274">
        <f>IF(AND(Table1[[#This Row],[Status]] = "Delivered", Table1[[#This Row],[Actual Delivery]] &lt;= Table1[[#This Row],[Promised Delivery]],Table1[[#This Row],[FillRate]]&gt;=0.95),1,0)</f>
        <v>0</v>
      </c>
      <c r="O274" t="str">
        <f>VLOOKUP(B274,Products!$A$2:$D$9,3,FALSE)</f>
        <v>Packaging</v>
      </c>
    </row>
    <row r="275" spans="1:15" x14ac:dyDescent="0.25">
      <c r="A275" s="15" t="s">
        <v>301</v>
      </c>
      <c r="B275" s="5" t="s">
        <v>44</v>
      </c>
      <c r="C275" s="5" t="s">
        <v>57</v>
      </c>
      <c r="D275" s="5" t="s">
        <v>28</v>
      </c>
      <c r="E275" s="6">
        <v>45536</v>
      </c>
      <c r="F275" s="21">
        <v>45557</v>
      </c>
      <c r="G275" s="21">
        <v>45557</v>
      </c>
      <c r="H275" s="5">
        <v>787</v>
      </c>
      <c r="I275" s="5">
        <v>709</v>
      </c>
      <c r="J275" s="4" t="s">
        <v>14</v>
      </c>
      <c r="K275">
        <f>Table1[[#This Row],[Delivered Qty]]/Table1[[#This Row],[Ordered Qty]]</f>
        <v>0.90088945362134687</v>
      </c>
      <c r="L275">
        <f>VLOOKUP(Table1[[#This Row],[Supplier ID]],Suppliers!$A$2:$D$6,4,FALSE)</f>
        <v>21</v>
      </c>
      <c r="M275">
        <f>Table1[[#This Row],[Actual Delivery]]-Table1[[#This Row],[Order Date]]-Table1[[#This Row],[std Lead time]]</f>
        <v>0</v>
      </c>
      <c r="N275">
        <f>IF(AND(Table1[[#This Row],[Status]] = "Delivered", Table1[[#This Row],[Actual Delivery]] &lt;= Table1[[#This Row],[Promised Delivery]],Table1[[#This Row],[FillRate]]&gt;=0.95),1,0)</f>
        <v>0</v>
      </c>
      <c r="O275" t="str">
        <f>VLOOKUP(B275,Products!$A$2:$D$9,3,FALSE)</f>
        <v>Finished Goods</v>
      </c>
    </row>
    <row r="276" spans="1:15" x14ac:dyDescent="0.25">
      <c r="A276" s="14" t="s">
        <v>302</v>
      </c>
      <c r="B276" s="2" t="s">
        <v>22</v>
      </c>
      <c r="C276" s="2" t="s">
        <v>31</v>
      </c>
      <c r="D276" s="2" t="s">
        <v>28</v>
      </c>
      <c r="E276" s="3">
        <v>45539</v>
      </c>
      <c r="F276" s="20">
        <v>45544</v>
      </c>
      <c r="G276" s="20">
        <v>45544</v>
      </c>
      <c r="H276" s="2">
        <v>1278</v>
      </c>
      <c r="I276" s="2">
        <v>1182</v>
      </c>
      <c r="J276" s="4" t="s">
        <v>14</v>
      </c>
      <c r="K276">
        <f>Table1[[#This Row],[Delivered Qty]]/Table1[[#This Row],[Ordered Qty]]</f>
        <v>0.92488262910798125</v>
      </c>
      <c r="L276">
        <f>VLOOKUP(Table1[[#This Row],[Supplier ID]],Suppliers!$A$2:$D$6,4,FALSE)</f>
        <v>5</v>
      </c>
      <c r="M276">
        <f>Table1[[#This Row],[Actual Delivery]]-Table1[[#This Row],[Order Date]]-Table1[[#This Row],[std Lead time]]</f>
        <v>0</v>
      </c>
      <c r="N276">
        <f>IF(AND(Table1[[#This Row],[Status]] = "Delivered", Table1[[#This Row],[Actual Delivery]] &lt;= Table1[[#This Row],[Promised Delivery]],Table1[[#This Row],[FillRate]]&gt;=0.95),1,0)</f>
        <v>0</v>
      </c>
      <c r="O276" t="str">
        <f>VLOOKUP(B276,Products!$A$2:$D$9,3,FALSE)</f>
        <v>Finished Goods</v>
      </c>
    </row>
    <row r="277" spans="1:15" x14ac:dyDescent="0.25">
      <c r="A277" s="15" t="s">
        <v>303</v>
      </c>
      <c r="B277" s="5" t="s">
        <v>30</v>
      </c>
      <c r="C277" s="5" t="s">
        <v>12</v>
      </c>
      <c r="D277" s="5" t="s">
        <v>18</v>
      </c>
      <c r="E277" s="6">
        <v>45538</v>
      </c>
      <c r="F277" s="21">
        <v>45556</v>
      </c>
      <c r="G277" s="21">
        <v>45556</v>
      </c>
      <c r="H277" s="5">
        <v>662</v>
      </c>
      <c r="I277" s="5">
        <v>615</v>
      </c>
      <c r="J277" s="4" t="s">
        <v>14</v>
      </c>
      <c r="K277">
        <f>Table1[[#This Row],[Delivered Qty]]/Table1[[#This Row],[Ordered Qty]]</f>
        <v>0.92900302114803623</v>
      </c>
      <c r="L277">
        <f>VLOOKUP(Table1[[#This Row],[Supplier ID]],Suppliers!$A$2:$D$6,4,FALSE)</f>
        <v>18</v>
      </c>
      <c r="M277">
        <f>Table1[[#This Row],[Actual Delivery]]-Table1[[#This Row],[Order Date]]-Table1[[#This Row],[std Lead time]]</f>
        <v>0</v>
      </c>
      <c r="N277">
        <f>IF(AND(Table1[[#This Row],[Status]] = "Delivered", Table1[[#This Row],[Actual Delivery]] &lt;= Table1[[#This Row],[Promised Delivery]],Table1[[#This Row],[FillRate]]&gt;=0.95),1,0)</f>
        <v>0</v>
      </c>
      <c r="O277" t="str">
        <f>VLOOKUP(B277,Products!$A$2:$D$9,3,FALSE)</f>
        <v>Finished Goods</v>
      </c>
    </row>
    <row r="278" spans="1:15" x14ac:dyDescent="0.25">
      <c r="A278" s="14" t="s">
        <v>304</v>
      </c>
      <c r="B278" s="2" t="s">
        <v>16</v>
      </c>
      <c r="C278" s="2" t="s">
        <v>26</v>
      </c>
      <c r="D278" s="2" t="s">
        <v>28</v>
      </c>
      <c r="E278" s="3">
        <v>45548</v>
      </c>
      <c r="F278" s="20">
        <v>45555</v>
      </c>
      <c r="G278" s="20">
        <v>45554</v>
      </c>
      <c r="H278" s="2">
        <v>314</v>
      </c>
      <c r="I278" s="2">
        <v>288</v>
      </c>
      <c r="J278" s="4" t="s">
        <v>14</v>
      </c>
      <c r="K278">
        <f>Table1[[#This Row],[Delivered Qty]]/Table1[[#This Row],[Ordered Qty]]</f>
        <v>0.91719745222929938</v>
      </c>
      <c r="L278">
        <f>VLOOKUP(Table1[[#This Row],[Supplier ID]],Suppliers!$A$2:$D$6,4,FALSE)</f>
        <v>7</v>
      </c>
      <c r="M278">
        <f>Table1[[#This Row],[Actual Delivery]]-Table1[[#This Row],[Order Date]]-Table1[[#This Row],[std Lead time]]</f>
        <v>-1</v>
      </c>
      <c r="N278">
        <f>IF(AND(Table1[[#This Row],[Status]] = "Delivered", Table1[[#This Row],[Actual Delivery]] &lt;= Table1[[#This Row],[Promised Delivery]],Table1[[#This Row],[FillRate]]&gt;=0.95),1,0)</f>
        <v>0</v>
      </c>
      <c r="O278" t="str">
        <f>VLOOKUP(B278,Products!$A$2:$D$9,3,FALSE)</f>
        <v>Packaging</v>
      </c>
    </row>
    <row r="279" spans="1:15" x14ac:dyDescent="0.25">
      <c r="A279" s="15" t="s">
        <v>305</v>
      </c>
      <c r="B279" s="5" t="s">
        <v>33</v>
      </c>
      <c r="C279" s="5" t="s">
        <v>26</v>
      </c>
      <c r="D279" s="5" t="s">
        <v>18</v>
      </c>
      <c r="E279" s="6">
        <v>45563</v>
      </c>
      <c r="F279" s="21">
        <v>45570</v>
      </c>
      <c r="G279" s="21">
        <v>45569</v>
      </c>
      <c r="H279" s="5">
        <v>1358</v>
      </c>
      <c r="I279" s="5">
        <v>1354</v>
      </c>
      <c r="J279" s="4" t="s">
        <v>14</v>
      </c>
      <c r="K279">
        <f>Table1[[#This Row],[Delivered Qty]]/Table1[[#This Row],[Ordered Qty]]</f>
        <v>0.99705449189985274</v>
      </c>
      <c r="L279">
        <f>VLOOKUP(Table1[[#This Row],[Supplier ID]],Suppliers!$A$2:$D$6,4,FALSE)</f>
        <v>7</v>
      </c>
      <c r="M279">
        <f>Table1[[#This Row],[Actual Delivery]]-Table1[[#This Row],[Order Date]]-Table1[[#This Row],[std Lead time]]</f>
        <v>-1</v>
      </c>
      <c r="N279">
        <f>IF(AND(Table1[[#This Row],[Status]] = "Delivered", Table1[[#This Row],[Actual Delivery]] &lt;= Table1[[#This Row],[Promised Delivery]],Table1[[#This Row],[FillRate]]&gt;=0.95),1,0)</f>
        <v>1</v>
      </c>
      <c r="O279" t="str">
        <f>VLOOKUP(B279,Products!$A$2:$D$9,3,FALSE)</f>
        <v>Raw Material</v>
      </c>
    </row>
    <row r="280" spans="1:15" x14ac:dyDescent="0.25">
      <c r="A280" s="14" t="s">
        <v>306</v>
      </c>
      <c r="B280" s="2" t="s">
        <v>16</v>
      </c>
      <c r="C280" s="2" t="s">
        <v>17</v>
      </c>
      <c r="D280" s="2" t="s">
        <v>28</v>
      </c>
      <c r="E280" s="3">
        <v>45543</v>
      </c>
      <c r="F280" s="20">
        <v>45549</v>
      </c>
      <c r="G280" s="20">
        <v>45555</v>
      </c>
      <c r="H280" s="2">
        <v>1360</v>
      </c>
      <c r="I280" s="2">
        <v>1203</v>
      </c>
      <c r="J280" s="4" t="s">
        <v>14</v>
      </c>
      <c r="K280">
        <f>Table1[[#This Row],[Delivered Qty]]/Table1[[#This Row],[Ordered Qty]]</f>
        <v>0.88455882352941173</v>
      </c>
      <c r="L280">
        <f>VLOOKUP(Table1[[#This Row],[Supplier ID]],Suppliers!$A$2:$D$6,4,FALSE)</f>
        <v>6</v>
      </c>
      <c r="M280">
        <f>Table1[[#This Row],[Actual Delivery]]-Table1[[#This Row],[Order Date]]-Table1[[#This Row],[std Lead time]]</f>
        <v>6</v>
      </c>
      <c r="N280">
        <f>IF(AND(Table1[[#This Row],[Status]] = "Delivered", Table1[[#This Row],[Actual Delivery]] &lt;= Table1[[#This Row],[Promised Delivery]],Table1[[#This Row],[FillRate]]&gt;=0.95),1,0)</f>
        <v>0</v>
      </c>
      <c r="O280" t="str">
        <f>VLOOKUP(B280,Products!$A$2:$D$9,3,FALSE)</f>
        <v>Packaging</v>
      </c>
    </row>
    <row r="281" spans="1:15" x14ac:dyDescent="0.25">
      <c r="A281" s="15" t="s">
        <v>307</v>
      </c>
      <c r="B281" s="5" t="s">
        <v>11</v>
      </c>
      <c r="C281" s="5" t="s">
        <v>26</v>
      </c>
      <c r="D281" s="5" t="s">
        <v>23</v>
      </c>
      <c r="E281" s="6">
        <v>45553</v>
      </c>
      <c r="F281" s="21">
        <v>45560</v>
      </c>
      <c r="G281" s="21">
        <v>45559</v>
      </c>
      <c r="H281" s="5">
        <v>232</v>
      </c>
      <c r="I281" s="5">
        <v>230</v>
      </c>
      <c r="J281" s="4" t="s">
        <v>14</v>
      </c>
      <c r="K281">
        <f>Table1[[#This Row],[Delivered Qty]]/Table1[[#This Row],[Ordered Qty]]</f>
        <v>0.99137931034482762</v>
      </c>
      <c r="L281">
        <f>VLOOKUP(Table1[[#This Row],[Supplier ID]],Suppliers!$A$2:$D$6,4,FALSE)</f>
        <v>7</v>
      </c>
      <c r="M281">
        <f>Table1[[#This Row],[Actual Delivery]]-Table1[[#This Row],[Order Date]]-Table1[[#This Row],[std Lead time]]</f>
        <v>-1</v>
      </c>
      <c r="N281">
        <f>IF(AND(Table1[[#This Row],[Status]] = "Delivered", Table1[[#This Row],[Actual Delivery]] &lt;= Table1[[#This Row],[Promised Delivery]],Table1[[#This Row],[FillRate]]&gt;=0.95),1,0)</f>
        <v>1</v>
      </c>
      <c r="O281" t="str">
        <f>VLOOKUP(B281,Products!$A$2:$D$9,3,FALSE)</f>
        <v>Packaging</v>
      </c>
    </row>
    <row r="282" spans="1:15" x14ac:dyDescent="0.25">
      <c r="A282" s="14" t="s">
        <v>308</v>
      </c>
      <c r="B282" s="2" t="s">
        <v>33</v>
      </c>
      <c r="C282" s="2" t="s">
        <v>57</v>
      </c>
      <c r="D282" s="2" t="s">
        <v>28</v>
      </c>
      <c r="E282" s="3">
        <v>45545</v>
      </c>
      <c r="F282" s="20">
        <v>45566</v>
      </c>
      <c r="G282" s="20">
        <v>45566</v>
      </c>
      <c r="H282" s="2">
        <v>1307</v>
      </c>
      <c r="I282" s="2">
        <v>1219</v>
      </c>
      <c r="J282" s="4" t="s">
        <v>14</v>
      </c>
      <c r="K282">
        <f>Table1[[#This Row],[Delivered Qty]]/Table1[[#This Row],[Ordered Qty]]</f>
        <v>0.93267023718439168</v>
      </c>
      <c r="L282">
        <f>VLOOKUP(Table1[[#This Row],[Supplier ID]],Suppliers!$A$2:$D$6,4,FALSE)</f>
        <v>21</v>
      </c>
      <c r="M282">
        <f>Table1[[#This Row],[Actual Delivery]]-Table1[[#This Row],[Order Date]]-Table1[[#This Row],[std Lead time]]</f>
        <v>0</v>
      </c>
      <c r="N282">
        <f>IF(AND(Table1[[#This Row],[Status]] = "Delivered", Table1[[#This Row],[Actual Delivery]] &lt;= Table1[[#This Row],[Promised Delivery]],Table1[[#This Row],[FillRate]]&gt;=0.95),1,0)</f>
        <v>0</v>
      </c>
      <c r="O282" t="str">
        <f>VLOOKUP(B282,Products!$A$2:$D$9,3,FALSE)</f>
        <v>Raw Material</v>
      </c>
    </row>
    <row r="283" spans="1:15" x14ac:dyDescent="0.25">
      <c r="A283" s="15" t="s">
        <v>309</v>
      </c>
      <c r="B283" s="5" t="s">
        <v>33</v>
      </c>
      <c r="C283" s="5" t="s">
        <v>26</v>
      </c>
      <c r="D283" s="5" t="s">
        <v>23</v>
      </c>
      <c r="E283" s="6">
        <v>45537</v>
      </c>
      <c r="F283" s="21">
        <v>45544</v>
      </c>
      <c r="G283" s="21">
        <v>45542</v>
      </c>
      <c r="H283" s="5">
        <v>897</v>
      </c>
      <c r="I283" s="5">
        <v>861</v>
      </c>
      <c r="J283" s="4" t="s">
        <v>14</v>
      </c>
      <c r="K283">
        <f>Table1[[#This Row],[Delivered Qty]]/Table1[[#This Row],[Ordered Qty]]</f>
        <v>0.95986622073578598</v>
      </c>
      <c r="L283">
        <f>VLOOKUP(Table1[[#This Row],[Supplier ID]],Suppliers!$A$2:$D$6,4,FALSE)</f>
        <v>7</v>
      </c>
      <c r="M283">
        <f>Table1[[#This Row],[Actual Delivery]]-Table1[[#This Row],[Order Date]]-Table1[[#This Row],[std Lead time]]</f>
        <v>-2</v>
      </c>
      <c r="N283">
        <f>IF(AND(Table1[[#This Row],[Status]] = "Delivered", Table1[[#This Row],[Actual Delivery]] &lt;= Table1[[#This Row],[Promised Delivery]],Table1[[#This Row],[FillRate]]&gt;=0.95),1,0)</f>
        <v>1</v>
      </c>
      <c r="O283" t="str">
        <f>VLOOKUP(B283,Products!$A$2:$D$9,3,FALSE)</f>
        <v>Raw Material</v>
      </c>
    </row>
    <row r="284" spans="1:15" x14ac:dyDescent="0.25">
      <c r="A284" s="14" t="s">
        <v>310</v>
      </c>
      <c r="B284" s="2" t="s">
        <v>22</v>
      </c>
      <c r="C284" s="2" t="s">
        <v>12</v>
      </c>
      <c r="D284" s="2" t="s">
        <v>28</v>
      </c>
      <c r="E284" s="3">
        <v>45556</v>
      </c>
      <c r="F284" s="20">
        <v>45574</v>
      </c>
      <c r="G284" s="20">
        <v>45573</v>
      </c>
      <c r="H284" s="2">
        <v>1084</v>
      </c>
      <c r="I284" s="2">
        <v>995</v>
      </c>
      <c r="J284" s="4" t="s">
        <v>14</v>
      </c>
      <c r="K284">
        <f>Table1[[#This Row],[Delivered Qty]]/Table1[[#This Row],[Ordered Qty]]</f>
        <v>0.91789667896678961</v>
      </c>
      <c r="L284">
        <f>VLOOKUP(Table1[[#This Row],[Supplier ID]],Suppliers!$A$2:$D$6,4,FALSE)</f>
        <v>18</v>
      </c>
      <c r="M284">
        <f>Table1[[#This Row],[Actual Delivery]]-Table1[[#This Row],[Order Date]]-Table1[[#This Row],[std Lead time]]</f>
        <v>-1</v>
      </c>
      <c r="N284">
        <f>IF(AND(Table1[[#This Row],[Status]] = "Delivered", Table1[[#This Row],[Actual Delivery]] &lt;= Table1[[#This Row],[Promised Delivery]],Table1[[#This Row],[FillRate]]&gt;=0.95),1,0)</f>
        <v>0</v>
      </c>
      <c r="O284" t="str">
        <f>VLOOKUP(B284,Products!$A$2:$D$9,3,FALSE)</f>
        <v>Finished Goods</v>
      </c>
    </row>
    <row r="285" spans="1:15" x14ac:dyDescent="0.25">
      <c r="A285" s="15" t="s">
        <v>311</v>
      </c>
      <c r="B285" s="5" t="s">
        <v>22</v>
      </c>
      <c r="C285" s="5" t="s">
        <v>26</v>
      </c>
      <c r="D285" s="5" t="s">
        <v>23</v>
      </c>
      <c r="E285" s="6">
        <v>45561</v>
      </c>
      <c r="F285" s="21">
        <v>45568</v>
      </c>
      <c r="G285" s="21">
        <v>45569</v>
      </c>
      <c r="H285" s="5">
        <v>748</v>
      </c>
      <c r="I285" s="5">
        <v>684</v>
      </c>
      <c r="J285" s="4" t="s">
        <v>14</v>
      </c>
      <c r="K285">
        <f>Table1[[#This Row],[Delivered Qty]]/Table1[[#This Row],[Ordered Qty]]</f>
        <v>0.91443850267379678</v>
      </c>
      <c r="L285">
        <f>VLOOKUP(Table1[[#This Row],[Supplier ID]],Suppliers!$A$2:$D$6,4,FALSE)</f>
        <v>7</v>
      </c>
      <c r="M285">
        <f>Table1[[#This Row],[Actual Delivery]]-Table1[[#This Row],[Order Date]]-Table1[[#This Row],[std Lead time]]</f>
        <v>1</v>
      </c>
      <c r="N285">
        <f>IF(AND(Table1[[#This Row],[Status]] = "Delivered", Table1[[#This Row],[Actual Delivery]] &lt;= Table1[[#This Row],[Promised Delivery]],Table1[[#This Row],[FillRate]]&gt;=0.95),1,0)</f>
        <v>0</v>
      </c>
      <c r="O285" t="str">
        <f>VLOOKUP(B285,Products!$A$2:$D$9,3,FALSE)</f>
        <v>Finished Goods</v>
      </c>
    </row>
    <row r="286" spans="1:15" x14ac:dyDescent="0.25">
      <c r="A286" s="14" t="s">
        <v>312</v>
      </c>
      <c r="B286" s="2" t="s">
        <v>33</v>
      </c>
      <c r="C286" s="2" t="s">
        <v>57</v>
      </c>
      <c r="D286" s="2" t="s">
        <v>23</v>
      </c>
      <c r="E286" s="3">
        <v>45547</v>
      </c>
      <c r="F286" s="20">
        <v>45568</v>
      </c>
      <c r="G286" s="20">
        <v>45567</v>
      </c>
      <c r="H286" s="2">
        <v>1759</v>
      </c>
      <c r="I286" s="2">
        <v>1630</v>
      </c>
      <c r="J286" s="4" t="s">
        <v>14</v>
      </c>
      <c r="K286">
        <f>Table1[[#This Row],[Delivered Qty]]/Table1[[#This Row],[Ordered Qty]]</f>
        <v>0.92666287663445135</v>
      </c>
      <c r="L286">
        <f>VLOOKUP(Table1[[#This Row],[Supplier ID]],Suppliers!$A$2:$D$6,4,FALSE)</f>
        <v>21</v>
      </c>
      <c r="M286">
        <f>Table1[[#This Row],[Actual Delivery]]-Table1[[#This Row],[Order Date]]-Table1[[#This Row],[std Lead time]]</f>
        <v>-1</v>
      </c>
      <c r="N286">
        <f>IF(AND(Table1[[#This Row],[Status]] = "Delivered", Table1[[#This Row],[Actual Delivery]] &lt;= Table1[[#This Row],[Promised Delivery]],Table1[[#This Row],[FillRate]]&gt;=0.95),1,0)</f>
        <v>0</v>
      </c>
      <c r="O286" t="str">
        <f>VLOOKUP(B286,Products!$A$2:$D$9,3,FALSE)</f>
        <v>Raw Material</v>
      </c>
    </row>
    <row r="287" spans="1:15" x14ac:dyDescent="0.25">
      <c r="A287" s="15" t="s">
        <v>313</v>
      </c>
      <c r="B287" s="5" t="s">
        <v>33</v>
      </c>
      <c r="C287" s="5" t="s">
        <v>26</v>
      </c>
      <c r="D287" s="5" t="s">
        <v>13</v>
      </c>
      <c r="E287" s="6">
        <v>45549</v>
      </c>
      <c r="F287" s="21">
        <v>45556</v>
      </c>
      <c r="G287" s="21">
        <v>45556</v>
      </c>
      <c r="H287" s="5">
        <v>1035</v>
      </c>
      <c r="I287" s="5">
        <v>942</v>
      </c>
      <c r="J287" s="4" t="s">
        <v>14</v>
      </c>
      <c r="K287">
        <f>Table1[[#This Row],[Delivered Qty]]/Table1[[#This Row],[Ordered Qty]]</f>
        <v>0.91014492753623188</v>
      </c>
      <c r="L287">
        <f>VLOOKUP(Table1[[#This Row],[Supplier ID]],Suppliers!$A$2:$D$6,4,FALSE)</f>
        <v>7</v>
      </c>
      <c r="M287">
        <f>Table1[[#This Row],[Actual Delivery]]-Table1[[#This Row],[Order Date]]-Table1[[#This Row],[std Lead time]]</f>
        <v>0</v>
      </c>
      <c r="N287">
        <f>IF(AND(Table1[[#This Row],[Status]] = "Delivered", Table1[[#This Row],[Actual Delivery]] &lt;= Table1[[#This Row],[Promised Delivery]],Table1[[#This Row],[FillRate]]&gt;=0.95),1,0)</f>
        <v>0</v>
      </c>
      <c r="O287" t="str">
        <f>VLOOKUP(B287,Products!$A$2:$D$9,3,FALSE)</f>
        <v>Raw Material</v>
      </c>
    </row>
    <row r="288" spans="1:15" x14ac:dyDescent="0.25">
      <c r="A288" s="14" t="s">
        <v>314</v>
      </c>
      <c r="B288" s="2" t="s">
        <v>16</v>
      </c>
      <c r="C288" s="2" t="s">
        <v>12</v>
      </c>
      <c r="D288" s="2" t="s">
        <v>28</v>
      </c>
      <c r="E288" s="3">
        <v>45555</v>
      </c>
      <c r="F288" s="20">
        <v>45573</v>
      </c>
      <c r="G288" s="20">
        <v>45571</v>
      </c>
      <c r="H288" s="2">
        <v>1684</v>
      </c>
      <c r="I288" s="2">
        <v>1647</v>
      </c>
      <c r="J288" s="4" t="s">
        <v>14</v>
      </c>
      <c r="K288">
        <f>Table1[[#This Row],[Delivered Qty]]/Table1[[#This Row],[Ordered Qty]]</f>
        <v>0.97802850356294535</v>
      </c>
      <c r="L288">
        <f>VLOOKUP(Table1[[#This Row],[Supplier ID]],Suppliers!$A$2:$D$6,4,FALSE)</f>
        <v>18</v>
      </c>
      <c r="M288">
        <f>Table1[[#This Row],[Actual Delivery]]-Table1[[#This Row],[Order Date]]-Table1[[#This Row],[std Lead time]]</f>
        <v>-2</v>
      </c>
      <c r="N288">
        <f>IF(AND(Table1[[#This Row],[Status]] = "Delivered", Table1[[#This Row],[Actual Delivery]] &lt;= Table1[[#This Row],[Promised Delivery]],Table1[[#This Row],[FillRate]]&gt;=0.95),1,0)</f>
        <v>1</v>
      </c>
      <c r="O288" t="str">
        <f>VLOOKUP(B288,Products!$A$2:$D$9,3,FALSE)</f>
        <v>Packaging</v>
      </c>
    </row>
    <row r="289" spans="1:15" x14ac:dyDescent="0.25">
      <c r="A289" s="15" t="s">
        <v>315</v>
      </c>
      <c r="B289" s="5" t="s">
        <v>20</v>
      </c>
      <c r="C289" s="5" t="s">
        <v>17</v>
      </c>
      <c r="D289" s="5" t="s">
        <v>13</v>
      </c>
      <c r="E289" s="6">
        <v>45557</v>
      </c>
      <c r="F289" s="21">
        <v>45563</v>
      </c>
      <c r="G289" s="21">
        <v>45562</v>
      </c>
      <c r="H289" s="5">
        <v>816</v>
      </c>
      <c r="I289" s="5">
        <v>756</v>
      </c>
      <c r="J289" s="4" t="s">
        <v>14</v>
      </c>
      <c r="K289">
        <f>Table1[[#This Row],[Delivered Qty]]/Table1[[#This Row],[Ordered Qty]]</f>
        <v>0.92647058823529416</v>
      </c>
      <c r="L289">
        <f>VLOOKUP(Table1[[#This Row],[Supplier ID]],Suppliers!$A$2:$D$6,4,FALSE)</f>
        <v>6</v>
      </c>
      <c r="M289">
        <f>Table1[[#This Row],[Actual Delivery]]-Table1[[#This Row],[Order Date]]-Table1[[#This Row],[std Lead time]]</f>
        <v>-1</v>
      </c>
      <c r="N289">
        <f>IF(AND(Table1[[#This Row],[Status]] = "Delivered", Table1[[#This Row],[Actual Delivery]] &lt;= Table1[[#This Row],[Promised Delivery]],Table1[[#This Row],[FillRate]]&gt;=0.95),1,0)</f>
        <v>0</v>
      </c>
      <c r="O289" t="str">
        <f>VLOOKUP(B289,Products!$A$2:$D$9,3,FALSE)</f>
        <v>Raw Material</v>
      </c>
    </row>
    <row r="290" spans="1:15" x14ac:dyDescent="0.25">
      <c r="A290" s="14" t="s">
        <v>316</v>
      </c>
      <c r="B290" s="2" t="s">
        <v>33</v>
      </c>
      <c r="C290" s="2" t="s">
        <v>26</v>
      </c>
      <c r="D290" s="2" t="s">
        <v>13</v>
      </c>
      <c r="E290" s="3">
        <v>45549</v>
      </c>
      <c r="F290" s="20">
        <v>45556</v>
      </c>
      <c r="G290" s="20">
        <v>45555</v>
      </c>
      <c r="H290" s="2">
        <v>1802</v>
      </c>
      <c r="I290" s="2">
        <v>1635</v>
      </c>
      <c r="J290" s="4" t="s">
        <v>14</v>
      </c>
      <c r="K290">
        <f>Table1[[#This Row],[Delivered Qty]]/Table1[[#This Row],[Ordered Qty]]</f>
        <v>0.90732519422863489</v>
      </c>
      <c r="L290">
        <f>VLOOKUP(Table1[[#This Row],[Supplier ID]],Suppliers!$A$2:$D$6,4,FALSE)</f>
        <v>7</v>
      </c>
      <c r="M290">
        <f>Table1[[#This Row],[Actual Delivery]]-Table1[[#This Row],[Order Date]]-Table1[[#This Row],[std Lead time]]</f>
        <v>-1</v>
      </c>
      <c r="N290">
        <f>IF(AND(Table1[[#This Row],[Status]] = "Delivered", Table1[[#This Row],[Actual Delivery]] &lt;= Table1[[#This Row],[Promised Delivery]],Table1[[#This Row],[FillRate]]&gt;=0.95),1,0)</f>
        <v>0</v>
      </c>
      <c r="O290" t="str">
        <f>VLOOKUP(B290,Products!$A$2:$D$9,3,FALSE)</f>
        <v>Raw Material</v>
      </c>
    </row>
    <row r="291" spans="1:15" x14ac:dyDescent="0.25">
      <c r="A291" s="15" t="s">
        <v>317</v>
      </c>
      <c r="B291" s="5" t="s">
        <v>37</v>
      </c>
      <c r="C291" s="5" t="s">
        <v>31</v>
      </c>
      <c r="D291" s="5" t="s">
        <v>18</v>
      </c>
      <c r="E291" s="6">
        <v>45555</v>
      </c>
      <c r="F291" s="21">
        <v>45560</v>
      </c>
      <c r="G291" s="21">
        <v>45558</v>
      </c>
      <c r="H291" s="5">
        <v>823</v>
      </c>
      <c r="I291" s="5">
        <v>741</v>
      </c>
      <c r="J291" s="4" t="s">
        <v>14</v>
      </c>
      <c r="K291">
        <f>Table1[[#This Row],[Delivered Qty]]/Table1[[#This Row],[Ordered Qty]]</f>
        <v>0.90036452004860268</v>
      </c>
      <c r="L291">
        <f>VLOOKUP(Table1[[#This Row],[Supplier ID]],Suppliers!$A$2:$D$6,4,FALSE)</f>
        <v>5</v>
      </c>
      <c r="M291">
        <f>Table1[[#This Row],[Actual Delivery]]-Table1[[#This Row],[Order Date]]-Table1[[#This Row],[std Lead time]]</f>
        <v>-2</v>
      </c>
      <c r="N291">
        <f>IF(AND(Table1[[#This Row],[Status]] = "Delivered", Table1[[#This Row],[Actual Delivery]] &lt;= Table1[[#This Row],[Promised Delivery]],Table1[[#This Row],[FillRate]]&gt;=0.95),1,0)</f>
        <v>0</v>
      </c>
      <c r="O291" t="str">
        <f>VLOOKUP(B291,Products!$A$2:$D$9,3,FALSE)</f>
        <v>Raw Material</v>
      </c>
    </row>
    <row r="292" spans="1:15" x14ac:dyDescent="0.25">
      <c r="A292" s="14" t="s">
        <v>318</v>
      </c>
      <c r="B292" s="2" t="s">
        <v>22</v>
      </c>
      <c r="C292" s="2" t="s">
        <v>12</v>
      </c>
      <c r="D292" s="2" t="s">
        <v>18</v>
      </c>
      <c r="E292" s="3">
        <v>45561</v>
      </c>
      <c r="F292" s="20">
        <v>45579</v>
      </c>
      <c r="G292" s="20">
        <v>45579</v>
      </c>
      <c r="H292" s="2">
        <v>1417</v>
      </c>
      <c r="I292" s="2">
        <v>1294</v>
      </c>
      <c r="J292" s="4" t="s">
        <v>14</v>
      </c>
      <c r="K292">
        <f>Table1[[#This Row],[Delivered Qty]]/Table1[[#This Row],[Ordered Qty]]</f>
        <v>0.91319689484827105</v>
      </c>
      <c r="L292">
        <f>VLOOKUP(Table1[[#This Row],[Supplier ID]],Suppliers!$A$2:$D$6,4,FALSE)</f>
        <v>18</v>
      </c>
      <c r="M292">
        <f>Table1[[#This Row],[Actual Delivery]]-Table1[[#This Row],[Order Date]]-Table1[[#This Row],[std Lead time]]</f>
        <v>0</v>
      </c>
      <c r="N292">
        <f>IF(AND(Table1[[#This Row],[Status]] = "Delivered", Table1[[#This Row],[Actual Delivery]] &lt;= Table1[[#This Row],[Promised Delivery]],Table1[[#This Row],[FillRate]]&gt;=0.95),1,0)</f>
        <v>0</v>
      </c>
      <c r="O292" t="str">
        <f>VLOOKUP(B292,Products!$A$2:$D$9,3,FALSE)</f>
        <v>Finished Goods</v>
      </c>
    </row>
    <row r="293" spans="1:15" x14ac:dyDescent="0.25">
      <c r="A293" s="15" t="s">
        <v>319</v>
      </c>
      <c r="B293" s="5" t="s">
        <v>30</v>
      </c>
      <c r="C293" s="5" t="s">
        <v>17</v>
      </c>
      <c r="D293" s="5" t="s">
        <v>13</v>
      </c>
      <c r="E293" s="6">
        <v>45551</v>
      </c>
      <c r="F293" s="21">
        <v>45557</v>
      </c>
      <c r="G293" s="21">
        <v>45556</v>
      </c>
      <c r="H293" s="5">
        <v>853</v>
      </c>
      <c r="I293" s="5">
        <v>792</v>
      </c>
      <c r="J293" s="4" t="s">
        <v>14</v>
      </c>
      <c r="K293">
        <f>Table1[[#This Row],[Delivered Qty]]/Table1[[#This Row],[Ordered Qty]]</f>
        <v>0.92848769050410318</v>
      </c>
      <c r="L293">
        <f>VLOOKUP(Table1[[#This Row],[Supplier ID]],Suppliers!$A$2:$D$6,4,FALSE)</f>
        <v>6</v>
      </c>
      <c r="M293">
        <f>Table1[[#This Row],[Actual Delivery]]-Table1[[#This Row],[Order Date]]-Table1[[#This Row],[std Lead time]]</f>
        <v>-1</v>
      </c>
      <c r="N293">
        <f>IF(AND(Table1[[#This Row],[Status]] = "Delivered", Table1[[#This Row],[Actual Delivery]] &lt;= Table1[[#This Row],[Promised Delivery]],Table1[[#This Row],[FillRate]]&gt;=0.95),1,0)</f>
        <v>0</v>
      </c>
      <c r="O293" t="str">
        <f>VLOOKUP(B293,Products!$A$2:$D$9,3,FALSE)</f>
        <v>Finished Goods</v>
      </c>
    </row>
    <row r="294" spans="1:15" x14ac:dyDescent="0.25">
      <c r="A294" s="14" t="s">
        <v>320</v>
      </c>
      <c r="B294" s="2" t="s">
        <v>44</v>
      </c>
      <c r="C294" s="2" t="s">
        <v>17</v>
      </c>
      <c r="D294" s="2" t="s">
        <v>13</v>
      </c>
      <c r="E294" s="3">
        <v>45546</v>
      </c>
      <c r="F294" s="20">
        <v>45552</v>
      </c>
      <c r="G294" s="20">
        <v>45551</v>
      </c>
      <c r="H294" s="2">
        <v>947</v>
      </c>
      <c r="I294" s="2">
        <v>863</v>
      </c>
      <c r="J294" s="4" t="s">
        <v>14</v>
      </c>
      <c r="K294">
        <f>Table1[[#This Row],[Delivered Qty]]/Table1[[#This Row],[Ordered Qty]]</f>
        <v>0.91129883843716997</v>
      </c>
      <c r="L294">
        <f>VLOOKUP(Table1[[#This Row],[Supplier ID]],Suppliers!$A$2:$D$6,4,FALSE)</f>
        <v>6</v>
      </c>
      <c r="M294">
        <f>Table1[[#This Row],[Actual Delivery]]-Table1[[#This Row],[Order Date]]-Table1[[#This Row],[std Lead time]]</f>
        <v>-1</v>
      </c>
      <c r="N294">
        <f>IF(AND(Table1[[#This Row],[Status]] = "Delivered", Table1[[#This Row],[Actual Delivery]] &lt;= Table1[[#This Row],[Promised Delivery]],Table1[[#This Row],[FillRate]]&gt;=0.95),1,0)</f>
        <v>0</v>
      </c>
      <c r="O294" t="str">
        <f>VLOOKUP(B294,Products!$A$2:$D$9,3,FALSE)</f>
        <v>Finished Goods</v>
      </c>
    </row>
    <row r="295" spans="1:15" x14ac:dyDescent="0.25">
      <c r="A295" s="15" t="s">
        <v>321</v>
      </c>
      <c r="B295" s="5" t="s">
        <v>20</v>
      </c>
      <c r="C295" s="5" t="s">
        <v>17</v>
      </c>
      <c r="D295" s="5" t="s">
        <v>13</v>
      </c>
      <c r="E295" s="6">
        <v>45557</v>
      </c>
      <c r="F295" s="21">
        <v>45563</v>
      </c>
      <c r="G295" s="21">
        <v>45577</v>
      </c>
      <c r="H295" s="5">
        <v>1650</v>
      </c>
      <c r="I295" s="5">
        <v>1519</v>
      </c>
      <c r="J295" s="4" t="s">
        <v>14</v>
      </c>
      <c r="K295">
        <f>Table1[[#This Row],[Delivered Qty]]/Table1[[#This Row],[Ordered Qty]]</f>
        <v>0.92060606060606065</v>
      </c>
      <c r="L295">
        <f>VLOOKUP(Table1[[#This Row],[Supplier ID]],Suppliers!$A$2:$D$6,4,FALSE)</f>
        <v>6</v>
      </c>
      <c r="M295">
        <f>Table1[[#This Row],[Actual Delivery]]-Table1[[#This Row],[Order Date]]-Table1[[#This Row],[std Lead time]]</f>
        <v>14</v>
      </c>
      <c r="N295">
        <f>IF(AND(Table1[[#This Row],[Status]] = "Delivered", Table1[[#This Row],[Actual Delivery]] &lt;= Table1[[#This Row],[Promised Delivery]],Table1[[#This Row],[FillRate]]&gt;=0.95),1,0)</f>
        <v>0</v>
      </c>
      <c r="O295" t="str">
        <f>VLOOKUP(B295,Products!$A$2:$D$9,3,FALSE)</f>
        <v>Raw Material</v>
      </c>
    </row>
    <row r="296" spans="1:15" x14ac:dyDescent="0.25">
      <c r="A296" s="14" t="s">
        <v>322</v>
      </c>
      <c r="B296" s="2" t="s">
        <v>37</v>
      </c>
      <c r="C296" s="2" t="s">
        <v>26</v>
      </c>
      <c r="D296" s="2" t="s">
        <v>18</v>
      </c>
      <c r="E296" s="3">
        <v>45557</v>
      </c>
      <c r="F296" s="20">
        <v>45564</v>
      </c>
      <c r="G296" s="20">
        <v>45563</v>
      </c>
      <c r="H296" s="2">
        <v>695</v>
      </c>
      <c r="I296" s="2">
        <v>643</v>
      </c>
      <c r="J296" s="4" t="s">
        <v>14</v>
      </c>
      <c r="K296">
        <f>Table1[[#This Row],[Delivered Qty]]/Table1[[#This Row],[Ordered Qty]]</f>
        <v>0.92517985611510789</v>
      </c>
      <c r="L296">
        <f>VLOOKUP(Table1[[#This Row],[Supplier ID]],Suppliers!$A$2:$D$6,4,FALSE)</f>
        <v>7</v>
      </c>
      <c r="M296">
        <f>Table1[[#This Row],[Actual Delivery]]-Table1[[#This Row],[Order Date]]-Table1[[#This Row],[std Lead time]]</f>
        <v>-1</v>
      </c>
      <c r="N296">
        <f>IF(AND(Table1[[#This Row],[Status]] = "Delivered", Table1[[#This Row],[Actual Delivery]] &lt;= Table1[[#This Row],[Promised Delivery]],Table1[[#This Row],[FillRate]]&gt;=0.95),1,0)</f>
        <v>0</v>
      </c>
      <c r="O296" t="str">
        <f>VLOOKUP(B296,Products!$A$2:$D$9,3,FALSE)</f>
        <v>Raw Material</v>
      </c>
    </row>
    <row r="297" spans="1:15" x14ac:dyDescent="0.25">
      <c r="A297" s="15" t="s">
        <v>323</v>
      </c>
      <c r="B297" s="5" t="s">
        <v>33</v>
      </c>
      <c r="C297" s="5" t="s">
        <v>57</v>
      </c>
      <c r="D297" s="5" t="s">
        <v>18</v>
      </c>
      <c r="E297" s="6">
        <v>45538</v>
      </c>
      <c r="F297" s="21">
        <v>45559</v>
      </c>
      <c r="G297" s="21">
        <v>45559</v>
      </c>
      <c r="H297" s="5">
        <v>1056</v>
      </c>
      <c r="I297" s="5">
        <v>1007</v>
      </c>
      <c r="J297" s="4" t="s">
        <v>14</v>
      </c>
      <c r="K297">
        <f>Table1[[#This Row],[Delivered Qty]]/Table1[[#This Row],[Ordered Qty]]</f>
        <v>0.95359848484848486</v>
      </c>
      <c r="L297">
        <f>VLOOKUP(Table1[[#This Row],[Supplier ID]],Suppliers!$A$2:$D$6,4,FALSE)</f>
        <v>21</v>
      </c>
      <c r="M297">
        <f>Table1[[#This Row],[Actual Delivery]]-Table1[[#This Row],[Order Date]]-Table1[[#This Row],[std Lead time]]</f>
        <v>0</v>
      </c>
      <c r="N297">
        <f>IF(AND(Table1[[#This Row],[Status]] = "Delivered", Table1[[#This Row],[Actual Delivery]] &lt;= Table1[[#This Row],[Promised Delivery]],Table1[[#This Row],[FillRate]]&gt;=0.95),1,0)</f>
        <v>1</v>
      </c>
      <c r="O297" t="str">
        <f>VLOOKUP(B297,Products!$A$2:$D$9,3,FALSE)</f>
        <v>Raw Material</v>
      </c>
    </row>
    <row r="298" spans="1:15" x14ac:dyDescent="0.25">
      <c r="A298" s="14" t="s">
        <v>324</v>
      </c>
      <c r="B298" s="2" t="s">
        <v>30</v>
      </c>
      <c r="C298" s="2" t="s">
        <v>17</v>
      </c>
      <c r="D298" s="2" t="s">
        <v>28</v>
      </c>
      <c r="E298" s="3">
        <v>45539</v>
      </c>
      <c r="F298" s="20">
        <v>45545</v>
      </c>
      <c r="G298" s="20">
        <v>45544</v>
      </c>
      <c r="H298" s="2">
        <v>540</v>
      </c>
      <c r="I298" s="2">
        <v>520</v>
      </c>
      <c r="J298" s="4" t="s">
        <v>14</v>
      </c>
      <c r="K298">
        <f>Table1[[#This Row],[Delivered Qty]]/Table1[[#This Row],[Ordered Qty]]</f>
        <v>0.96296296296296291</v>
      </c>
      <c r="L298">
        <f>VLOOKUP(Table1[[#This Row],[Supplier ID]],Suppliers!$A$2:$D$6,4,FALSE)</f>
        <v>6</v>
      </c>
      <c r="M298">
        <f>Table1[[#This Row],[Actual Delivery]]-Table1[[#This Row],[Order Date]]-Table1[[#This Row],[std Lead time]]</f>
        <v>-1</v>
      </c>
      <c r="N298">
        <f>IF(AND(Table1[[#This Row],[Status]] = "Delivered", Table1[[#This Row],[Actual Delivery]] &lt;= Table1[[#This Row],[Promised Delivery]],Table1[[#This Row],[FillRate]]&gt;=0.95),1,0)</f>
        <v>1</v>
      </c>
      <c r="O298" t="str">
        <f>VLOOKUP(B298,Products!$A$2:$D$9,3,FALSE)</f>
        <v>Finished Goods</v>
      </c>
    </row>
    <row r="299" spans="1:15" x14ac:dyDescent="0.25">
      <c r="A299" s="15" t="s">
        <v>325</v>
      </c>
      <c r="B299" s="5" t="s">
        <v>11</v>
      </c>
      <c r="C299" s="5" t="s">
        <v>17</v>
      </c>
      <c r="D299" s="5" t="s">
        <v>18</v>
      </c>
      <c r="E299" s="6">
        <v>45560</v>
      </c>
      <c r="F299" s="21">
        <v>45566</v>
      </c>
      <c r="G299" s="21">
        <v>45579</v>
      </c>
      <c r="H299" s="5">
        <v>416</v>
      </c>
      <c r="I299" s="5">
        <v>325</v>
      </c>
      <c r="J299" s="4" t="s">
        <v>14</v>
      </c>
      <c r="K299">
        <f>Table1[[#This Row],[Delivered Qty]]/Table1[[#This Row],[Ordered Qty]]</f>
        <v>0.78125</v>
      </c>
      <c r="L299">
        <f>VLOOKUP(Table1[[#This Row],[Supplier ID]],Suppliers!$A$2:$D$6,4,FALSE)</f>
        <v>6</v>
      </c>
      <c r="M299">
        <f>Table1[[#This Row],[Actual Delivery]]-Table1[[#This Row],[Order Date]]-Table1[[#This Row],[std Lead time]]</f>
        <v>13</v>
      </c>
      <c r="N299">
        <f>IF(AND(Table1[[#This Row],[Status]] = "Delivered", Table1[[#This Row],[Actual Delivery]] &lt;= Table1[[#This Row],[Promised Delivery]],Table1[[#This Row],[FillRate]]&gt;=0.95),1,0)</f>
        <v>0</v>
      </c>
      <c r="O299" t="str">
        <f>VLOOKUP(B299,Products!$A$2:$D$9,3,FALSE)</f>
        <v>Packaging</v>
      </c>
    </row>
    <row r="300" spans="1:15" x14ac:dyDescent="0.25">
      <c r="A300" s="14" t="s">
        <v>326</v>
      </c>
      <c r="B300" s="2" t="s">
        <v>37</v>
      </c>
      <c r="C300" s="2" t="s">
        <v>31</v>
      </c>
      <c r="D300" s="2" t="s">
        <v>13</v>
      </c>
      <c r="E300" s="3">
        <v>45550</v>
      </c>
      <c r="F300" s="20">
        <v>45555</v>
      </c>
      <c r="G300" s="20">
        <v>45555</v>
      </c>
      <c r="H300" s="2">
        <v>1405</v>
      </c>
      <c r="I300" s="2">
        <v>1361</v>
      </c>
      <c r="J300" s="4" t="s">
        <v>14</v>
      </c>
      <c r="K300">
        <f>Table1[[#This Row],[Delivered Qty]]/Table1[[#This Row],[Ordered Qty]]</f>
        <v>0.96868327402135235</v>
      </c>
      <c r="L300">
        <f>VLOOKUP(Table1[[#This Row],[Supplier ID]],Suppliers!$A$2:$D$6,4,FALSE)</f>
        <v>5</v>
      </c>
      <c r="M300">
        <f>Table1[[#This Row],[Actual Delivery]]-Table1[[#This Row],[Order Date]]-Table1[[#This Row],[std Lead time]]</f>
        <v>0</v>
      </c>
      <c r="N300">
        <f>IF(AND(Table1[[#This Row],[Status]] = "Delivered", Table1[[#This Row],[Actual Delivery]] &lt;= Table1[[#This Row],[Promised Delivery]],Table1[[#This Row],[FillRate]]&gt;=0.95),1,0)</f>
        <v>1</v>
      </c>
      <c r="O300" t="str">
        <f>VLOOKUP(B300,Products!$A$2:$D$9,3,FALSE)</f>
        <v>Raw Material</v>
      </c>
    </row>
    <row r="301" spans="1:15" x14ac:dyDescent="0.25">
      <c r="A301" s="15" t="s">
        <v>327</v>
      </c>
      <c r="B301" s="5" t="s">
        <v>33</v>
      </c>
      <c r="C301" s="5" t="s">
        <v>12</v>
      </c>
      <c r="D301" s="5" t="s">
        <v>28</v>
      </c>
      <c r="E301" s="6">
        <v>45551</v>
      </c>
      <c r="F301" s="21">
        <v>45569</v>
      </c>
      <c r="G301" s="21">
        <v>45567</v>
      </c>
      <c r="H301" s="5">
        <v>1902</v>
      </c>
      <c r="I301" s="5">
        <v>1890</v>
      </c>
      <c r="J301" s="4" t="s">
        <v>14</v>
      </c>
      <c r="K301">
        <f>Table1[[#This Row],[Delivered Qty]]/Table1[[#This Row],[Ordered Qty]]</f>
        <v>0.99369085173501581</v>
      </c>
      <c r="L301">
        <f>VLOOKUP(Table1[[#This Row],[Supplier ID]],Suppliers!$A$2:$D$6,4,FALSE)</f>
        <v>18</v>
      </c>
      <c r="M301">
        <f>Table1[[#This Row],[Actual Delivery]]-Table1[[#This Row],[Order Date]]-Table1[[#This Row],[std Lead time]]</f>
        <v>-2</v>
      </c>
      <c r="N301">
        <f>IF(AND(Table1[[#This Row],[Status]] = "Delivered", Table1[[#This Row],[Actual Delivery]] &lt;= Table1[[#This Row],[Promised Delivery]],Table1[[#This Row],[FillRate]]&gt;=0.95),1,0)</f>
        <v>1</v>
      </c>
      <c r="O301" t="str">
        <f>VLOOKUP(B301,Products!$A$2:$D$9,3,FALSE)</f>
        <v>Raw Material</v>
      </c>
    </row>
    <row r="302" spans="1:15" x14ac:dyDescent="0.25">
      <c r="A302" s="14" t="s">
        <v>328</v>
      </c>
      <c r="B302" s="2" t="s">
        <v>33</v>
      </c>
      <c r="C302" s="2" t="s">
        <v>12</v>
      </c>
      <c r="D302" s="2" t="s">
        <v>23</v>
      </c>
      <c r="E302" s="3">
        <v>45546</v>
      </c>
      <c r="F302" s="20">
        <v>45564</v>
      </c>
      <c r="G302" s="20">
        <v>45562</v>
      </c>
      <c r="H302" s="2">
        <v>1097</v>
      </c>
      <c r="I302" s="2">
        <v>1066</v>
      </c>
      <c r="J302" s="4" t="s">
        <v>14</v>
      </c>
      <c r="K302">
        <f>Table1[[#This Row],[Delivered Qty]]/Table1[[#This Row],[Ordered Qty]]</f>
        <v>0.97174111212397452</v>
      </c>
      <c r="L302">
        <f>VLOOKUP(Table1[[#This Row],[Supplier ID]],Suppliers!$A$2:$D$6,4,FALSE)</f>
        <v>18</v>
      </c>
      <c r="M302">
        <f>Table1[[#This Row],[Actual Delivery]]-Table1[[#This Row],[Order Date]]-Table1[[#This Row],[std Lead time]]</f>
        <v>-2</v>
      </c>
      <c r="N302">
        <f>IF(AND(Table1[[#This Row],[Status]] = "Delivered", Table1[[#This Row],[Actual Delivery]] &lt;= Table1[[#This Row],[Promised Delivery]],Table1[[#This Row],[FillRate]]&gt;=0.95),1,0)</f>
        <v>1</v>
      </c>
      <c r="O302" t="str">
        <f>VLOOKUP(B302,Products!$A$2:$D$9,3,FALSE)</f>
        <v>Raw Material</v>
      </c>
    </row>
    <row r="303" spans="1:15" x14ac:dyDescent="0.25">
      <c r="A303" s="15" t="s">
        <v>329</v>
      </c>
      <c r="B303" s="5" t="s">
        <v>44</v>
      </c>
      <c r="C303" s="5" t="s">
        <v>12</v>
      </c>
      <c r="D303" s="5" t="s">
        <v>28</v>
      </c>
      <c r="E303" s="6">
        <v>45545</v>
      </c>
      <c r="F303" s="21">
        <v>45563</v>
      </c>
      <c r="G303" s="21">
        <v>45561</v>
      </c>
      <c r="H303" s="5">
        <v>1586</v>
      </c>
      <c r="I303" s="5">
        <v>1554</v>
      </c>
      <c r="J303" s="4" t="s">
        <v>14</v>
      </c>
      <c r="K303">
        <f>Table1[[#This Row],[Delivered Qty]]/Table1[[#This Row],[Ordered Qty]]</f>
        <v>0.97982345523329129</v>
      </c>
      <c r="L303">
        <f>VLOOKUP(Table1[[#This Row],[Supplier ID]],Suppliers!$A$2:$D$6,4,FALSE)</f>
        <v>18</v>
      </c>
      <c r="M303">
        <f>Table1[[#This Row],[Actual Delivery]]-Table1[[#This Row],[Order Date]]-Table1[[#This Row],[std Lead time]]</f>
        <v>-2</v>
      </c>
      <c r="N303">
        <f>IF(AND(Table1[[#This Row],[Status]] = "Delivered", Table1[[#This Row],[Actual Delivery]] &lt;= Table1[[#This Row],[Promised Delivery]],Table1[[#This Row],[FillRate]]&gt;=0.95),1,0)</f>
        <v>1</v>
      </c>
      <c r="O303" t="str">
        <f>VLOOKUP(B303,Products!$A$2:$D$9,3,FALSE)</f>
        <v>Finished Goods</v>
      </c>
    </row>
    <row r="304" spans="1:15" x14ac:dyDescent="0.25">
      <c r="A304" s="14" t="s">
        <v>330</v>
      </c>
      <c r="B304" s="2" t="s">
        <v>20</v>
      </c>
      <c r="C304" s="2" t="s">
        <v>17</v>
      </c>
      <c r="D304" s="2" t="s">
        <v>13</v>
      </c>
      <c r="E304" s="3">
        <v>45553</v>
      </c>
      <c r="F304" s="20">
        <v>45559</v>
      </c>
      <c r="G304" s="20">
        <v>45558</v>
      </c>
      <c r="H304" s="2">
        <v>1146</v>
      </c>
      <c r="I304" s="2">
        <v>1057</v>
      </c>
      <c r="J304" s="4" t="s">
        <v>14</v>
      </c>
      <c r="K304">
        <f>Table1[[#This Row],[Delivered Qty]]/Table1[[#This Row],[Ordered Qty]]</f>
        <v>0.92233856893542754</v>
      </c>
      <c r="L304">
        <f>VLOOKUP(Table1[[#This Row],[Supplier ID]],Suppliers!$A$2:$D$6,4,FALSE)</f>
        <v>6</v>
      </c>
      <c r="M304">
        <f>Table1[[#This Row],[Actual Delivery]]-Table1[[#This Row],[Order Date]]-Table1[[#This Row],[std Lead time]]</f>
        <v>-1</v>
      </c>
      <c r="N304">
        <f>IF(AND(Table1[[#This Row],[Status]] = "Delivered", Table1[[#This Row],[Actual Delivery]] &lt;= Table1[[#This Row],[Promised Delivery]],Table1[[#This Row],[FillRate]]&gt;=0.95),1,0)</f>
        <v>0</v>
      </c>
      <c r="O304" t="str">
        <f>VLOOKUP(B304,Products!$A$2:$D$9,3,FALSE)</f>
        <v>Raw Material</v>
      </c>
    </row>
    <row r="305" spans="1:15" x14ac:dyDescent="0.25">
      <c r="A305" s="15" t="s">
        <v>331</v>
      </c>
      <c r="B305" s="5" t="s">
        <v>22</v>
      </c>
      <c r="C305" s="5" t="s">
        <v>31</v>
      </c>
      <c r="D305" s="5" t="s">
        <v>13</v>
      </c>
      <c r="E305" s="6">
        <v>45556</v>
      </c>
      <c r="F305" s="21">
        <v>45561</v>
      </c>
      <c r="G305" s="21">
        <v>45561</v>
      </c>
      <c r="H305" s="5">
        <v>1457</v>
      </c>
      <c r="I305" s="5">
        <v>1439</v>
      </c>
      <c r="J305" s="4" t="s">
        <v>14</v>
      </c>
      <c r="K305">
        <f>Table1[[#This Row],[Delivered Qty]]/Table1[[#This Row],[Ordered Qty]]</f>
        <v>0.98764584763212082</v>
      </c>
      <c r="L305">
        <f>VLOOKUP(Table1[[#This Row],[Supplier ID]],Suppliers!$A$2:$D$6,4,FALSE)</f>
        <v>5</v>
      </c>
      <c r="M305">
        <f>Table1[[#This Row],[Actual Delivery]]-Table1[[#This Row],[Order Date]]-Table1[[#This Row],[std Lead time]]</f>
        <v>0</v>
      </c>
      <c r="N305">
        <f>IF(AND(Table1[[#This Row],[Status]] = "Delivered", Table1[[#This Row],[Actual Delivery]] &lt;= Table1[[#This Row],[Promised Delivery]],Table1[[#This Row],[FillRate]]&gt;=0.95),1,0)</f>
        <v>1</v>
      </c>
      <c r="O305" t="str">
        <f>VLOOKUP(B305,Products!$A$2:$D$9,3,FALSE)</f>
        <v>Finished Goods</v>
      </c>
    </row>
    <row r="306" spans="1:15" x14ac:dyDescent="0.25">
      <c r="A306" s="14" t="s">
        <v>332</v>
      </c>
      <c r="B306" s="2" t="s">
        <v>44</v>
      </c>
      <c r="C306" s="2" t="s">
        <v>17</v>
      </c>
      <c r="D306" s="2" t="s">
        <v>18</v>
      </c>
      <c r="E306" s="3">
        <v>45548</v>
      </c>
      <c r="F306" s="20">
        <v>45554</v>
      </c>
      <c r="G306" s="20">
        <v>45556</v>
      </c>
      <c r="H306" s="2">
        <v>770</v>
      </c>
      <c r="I306" s="2">
        <v>750</v>
      </c>
      <c r="J306" s="4" t="s">
        <v>14</v>
      </c>
      <c r="K306">
        <f>Table1[[#This Row],[Delivered Qty]]/Table1[[#This Row],[Ordered Qty]]</f>
        <v>0.97402597402597402</v>
      </c>
      <c r="L306">
        <f>VLOOKUP(Table1[[#This Row],[Supplier ID]],Suppliers!$A$2:$D$6,4,FALSE)</f>
        <v>6</v>
      </c>
      <c r="M306">
        <f>Table1[[#This Row],[Actual Delivery]]-Table1[[#This Row],[Order Date]]-Table1[[#This Row],[std Lead time]]</f>
        <v>2</v>
      </c>
      <c r="N306">
        <f>IF(AND(Table1[[#This Row],[Status]] = "Delivered", Table1[[#This Row],[Actual Delivery]] &lt;= Table1[[#This Row],[Promised Delivery]],Table1[[#This Row],[FillRate]]&gt;=0.95),1,0)</f>
        <v>0</v>
      </c>
      <c r="O306" t="str">
        <f>VLOOKUP(B306,Products!$A$2:$D$9,3,FALSE)</f>
        <v>Finished Goods</v>
      </c>
    </row>
    <row r="307" spans="1:15" x14ac:dyDescent="0.25">
      <c r="A307" s="15" t="s">
        <v>333</v>
      </c>
      <c r="B307" s="5" t="s">
        <v>16</v>
      </c>
      <c r="C307" s="5" t="s">
        <v>17</v>
      </c>
      <c r="D307" s="5" t="s">
        <v>28</v>
      </c>
      <c r="E307" s="6">
        <v>45561</v>
      </c>
      <c r="F307" s="21">
        <v>45567</v>
      </c>
      <c r="G307" s="21">
        <v>45565</v>
      </c>
      <c r="H307" s="5">
        <v>1137</v>
      </c>
      <c r="I307" s="5">
        <v>915</v>
      </c>
      <c r="J307" s="4" t="s">
        <v>14</v>
      </c>
      <c r="K307">
        <f>Table1[[#This Row],[Delivered Qty]]/Table1[[#This Row],[Ordered Qty]]</f>
        <v>0.80474934036939316</v>
      </c>
      <c r="L307">
        <f>VLOOKUP(Table1[[#This Row],[Supplier ID]],Suppliers!$A$2:$D$6,4,FALSE)</f>
        <v>6</v>
      </c>
      <c r="M307">
        <f>Table1[[#This Row],[Actual Delivery]]-Table1[[#This Row],[Order Date]]-Table1[[#This Row],[std Lead time]]</f>
        <v>-2</v>
      </c>
      <c r="N307">
        <f>IF(AND(Table1[[#This Row],[Status]] = "Delivered", Table1[[#This Row],[Actual Delivery]] &lt;= Table1[[#This Row],[Promised Delivery]],Table1[[#This Row],[FillRate]]&gt;=0.95),1,0)</f>
        <v>0</v>
      </c>
      <c r="O307" t="str">
        <f>VLOOKUP(B307,Products!$A$2:$D$9,3,FALSE)</f>
        <v>Packaging</v>
      </c>
    </row>
    <row r="308" spans="1:15" x14ac:dyDescent="0.25">
      <c r="A308" s="14" t="s">
        <v>334</v>
      </c>
      <c r="B308" s="2" t="s">
        <v>44</v>
      </c>
      <c r="C308" s="2" t="s">
        <v>17</v>
      </c>
      <c r="D308" s="2" t="s">
        <v>23</v>
      </c>
      <c r="E308" s="3">
        <v>45555</v>
      </c>
      <c r="F308" s="20">
        <v>45561</v>
      </c>
      <c r="G308" s="20">
        <v>45561</v>
      </c>
      <c r="H308" s="2">
        <v>433</v>
      </c>
      <c r="I308" s="2">
        <v>404</v>
      </c>
      <c r="J308" s="4" t="s">
        <v>14</v>
      </c>
      <c r="K308">
        <f>Table1[[#This Row],[Delivered Qty]]/Table1[[#This Row],[Ordered Qty]]</f>
        <v>0.93302540415704383</v>
      </c>
      <c r="L308">
        <f>VLOOKUP(Table1[[#This Row],[Supplier ID]],Suppliers!$A$2:$D$6,4,FALSE)</f>
        <v>6</v>
      </c>
      <c r="M308">
        <f>Table1[[#This Row],[Actual Delivery]]-Table1[[#This Row],[Order Date]]-Table1[[#This Row],[std Lead time]]</f>
        <v>0</v>
      </c>
      <c r="N308">
        <f>IF(AND(Table1[[#This Row],[Status]] = "Delivered", Table1[[#This Row],[Actual Delivery]] &lt;= Table1[[#This Row],[Promised Delivery]],Table1[[#This Row],[FillRate]]&gt;=0.95),1,0)</f>
        <v>0</v>
      </c>
      <c r="O308" t="str">
        <f>VLOOKUP(B308,Products!$A$2:$D$9,3,FALSE)</f>
        <v>Finished Goods</v>
      </c>
    </row>
    <row r="309" spans="1:15" x14ac:dyDescent="0.25">
      <c r="A309" s="15" t="s">
        <v>335</v>
      </c>
      <c r="B309" s="5" t="s">
        <v>44</v>
      </c>
      <c r="C309" s="5" t="s">
        <v>17</v>
      </c>
      <c r="D309" s="5" t="s">
        <v>13</v>
      </c>
      <c r="E309" s="6">
        <v>45562</v>
      </c>
      <c r="F309" s="21">
        <v>45568</v>
      </c>
      <c r="G309" s="21">
        <v>45573</v>
      </c>
      <c r="H309" s="5">
        <v>373</v>
      </c>
      <c r="I309" s="5">
        <v>360</v>
      </c>
      <c r="J309" s="4" t="s">
        <v>14</v>
      </c>
      <c r="K309">
        <f>Table1[[#This Row],[Delivered Qty]]/Table1[[#This Row],[Ordered Qty]]</f>
        <v>0.9651474530831099</v>
      </c>
      <c r="L309">
        <f>VLOOKUP(Table1[[#This Row],[Supplier ID]],Suppliers!$A$2:$D$6,4,FALSE)</f>
        <v>6</v>
      </c>
      <c r="M309">
        <f>Table1[[#This Row],[Actual Delivery]]-Table1[[#This Row],[Order Date]]-Table1[[#This Row],[std Lead time]]</f>
        <v>5</v>
      </c>
      <c r="N309">
        <f>IF(AND(Table1[[#This Row],[Status]] = "Delivered", Table1[[#This Row],[Actual Delivery]] &lt;= Table1[[#This Row],[Promised Delivery]],Table1[[#This Row],[FillRate]]&gt;=0.95),1,0)</f>
        <v>0</v>
      </c>
      <c r="O309" t="str">
        <f>VLOOKUP(B309,Products!$A$2:$D$9,3,FALSE)</f>
        <v>Finished Goods</v>
      </c>
    </row>
    <row r="310" spans="1:15" x14ac:dyDescent="0.25">
      <c r="A310" s="14" t="s">
        <v>336</v>
      </c>
      <c r="B310" s="2" t="s">
        <v>30</v>
      </c>
      <c r="C310" s="2" t="s">
        <v>26</v>
      </c>
      <c r="D310" s="2" t="s">
        <v>13</v>
      </c>
      <c r="E310" s="3">
        <v>45545</v>
      </c>
      <c r="F310" s="20">
        <v>45552</v>
      </c>
      <c r="G310" s="20">
        <v>45552</v>
      </c>
      <c r="H310" s="2">
        <v>489</v>
      </c>
      <c r="I310" s="2">
        <v>465</v>
      </c>
      <c r="J310" s="4" t="s">
        <v>14</v>
      </c>
      <c r="K310">
        <f>Table1[[#This Row],[Delivered Qty]]/Table1[[#This Row],[Ordered Qty]]</f>
        <v>0.95092024539877296</v>
      </c>
      <c r="L310">
        <f>VLOOKUP(Table1[[#This Row],[Supplier ID]],Suppliers!$A$2:$D$6,4,FALSE)</f>
        <v>7</v>
      </c>
      <c r="M310">
        <f>Table1[[#This Row],[Actual Delivery]]-Table1[[#This Row],[Order Date]]-Table1[[#This Row],[std Lead time]]</f>
        <v>0</v>
      </c>
      <c r="N310">
        <f>IF(AND(Table1[[#This Row],[Status]] = "Delivered", Table1[[#This Row],[Actual Delivery]] &lt;= Table1[[#This Row],[Promised Delivery]],Table1[[#This Row],[FillRate]]&gt;=0.95),1,0)</f>
        <v>1</v>
      </c>
      <c r="O310" t="str">
        <f>VLOOKUP(B310,Products!$A$2:$D$9,3,FALSE)</f>
        <v>Finished Goods</v>
      </c>
    </row>
    <row r="311" spans="1:15" x14ac:dyDescent="0.25">
      <c r="A311" s="15" t="s">
        <v>337</v>
      </c>
      <c r="B311" s="5" t="s">
        <v>22</v>
      </c>
      <c r="C311" s="5" t="s">
        <v>17</v>
      </c>
      <c r="D311" s="5" t="s">
        <v>13</v>
      </c>
      <c r="E311" s="6">
        <v>45554</v>
      </c>
      <c r="F311" s="21">
        <v>45560</v>
      </c>
      <c r="G311" s="21">
        <v>45559</v>
      </c>
      <c r="H311" s="5">
        <v>1501</v>
      </c>
      <c r="I311" s="5">
        <v>1431</v>
      </c>
      <c r="J311" s="4" t="s">
        <v>14</v>
      </c>
      <c r="K311">
        <f>Table1[[#This Row],[Delivered Qty]]/Table1[[#This Row],[Ordered Qty]]</f>
        <v>0.95336442371752161</v>
      </c>
      <c r="L311">
        <f>VLOOKUP(Table1[[#This Row],[Supplier ID]],Suppliers!$A$2:$D$6,4,FALSE)</f>
        <v>6</v>
      </c>
      <c r="M311">
        <f>Table1[[#This Row],[Actual Delivery]]-Table1[[#This Row],[Order Date]]-Table1[[#This Row],[std Lead time]]</f>
        <v>-1</v>
      </c>
      <c r="N311">
        <f>IF(AND(Table1[[#This Row],[Status]] = "Delivered", Table1[[#This Row],[Actual Delivery]] &lt;= Table1[[#This Row],[Promised Delivery]],Table1[[#This Row],[FillRate]]&gt;=0.95),1,0)</f>
        <v>1</v>
      </c>
      <c r="O311" t="str">
        <f>VLOOKUP(B311,Products!$A$2:$D$9,3,FALSE)</f>
        <v>Finished Goods</v>
      </c>
    </row>
    <row r="312" spans="1:15" x14ac:dyDescent="0.25">
      <c r="A312" s="14" t="s">
        <v>338</v>
      </c>
      <c r="B312" s="2" t="s">
        <v>33</v>
      </c>
      <c r="C312" s="2" t="s">
        <v>17</v>
      </c>
      <c r="D312" s="2" t="s">
        <v>13</v>
      </c>
      <c r="E312" s="3">
        <v>45551</v>
      </c>
      <c r="F312" s="20">
        <v>45557</v>
      </c>
      <c r="G312" s="20">
        <v>45556</v>
      </c>
      <c r="H312" s="2">
        <v>1924</v>
      </c>
      <c r="I312" s="2">
        <v>1818</v>
      </c>
      <c r="J312" s="4" t="s">
        <v>14</v>
      </c>
      <c r="K312">
        <f>Table1[[#This Row],[Delivered Qty]]/Table1[[#This Row],[Ordered Qty]]</f>
        <v>0.94490644490644493</v>
      </c>
      <c r="L312">
        <f>VLOOKUP(Table1[[#This Row],[Supplier ID]],Suppliers!$A$2:$D$6,4,FALSE)</f>
        <v>6</v>
      </c>
      <c r="M312">
        <f>Table1[[#This Row],[Actual Delivery]]-Table1[[#This Row],[Order Date]]-Table1[[#This Row],[std Lead time]]</f>
        <v>-1</v>
      </c>
      <c r="N312">
        <f>IF(AND(Table1[[#This Row],[Status]] = "Delivered", Table1[[#This Row],[Actual Delivery]] &lt;= Table1[[#This Row],[Promised Delivery]],Table1[[#This Row],[FillRate]]&gt;=0.95),1,0)</f>
        <v>0</v>
      </c>
      <c r="O312" t="str">
        <f>VLOOKUP(B312,Products!$A$2:$D$9,3,FALSE)</f>
        <v>Raw Material</v>
      </c>
    </row>
    <row r="313" spans="1:15" x14ac:dyDescent="0.25">
      <c r="A313" s="15" t="s">
        <v>339</v>
      </c>
      <c r="B313" s="5" t="s">
        <v>11</v>
      </c>
      <c r="C313" s="5" t="s">
        <v>12</v>
      </c>
      <c r="D313" s="5" t="s">
        <v>28</v>
      </c>
      <c r="E313" s="6">
        <v>45551</v>
      </c>
      <c r="F313" s="21">
        <v>45569</v>
      </c>
      <c r="G313" s="21">
        <v>45569</v>
      </c>
      <c r="H313" s="5">
        <v>1537</v>
      </c>
      <c r="I313" s="5">
        <v>1366</v>
      </c>
      <c r="J313" s="4" t="s">
        <v>14</v>
      </c>
      <c r="K313">
        <f>Table1[[#This Row],[Delivered Qty]]/Table1[[#This Row],[Ordered Qty]]</f>
        <v>0.88874430709173713</v>
      </c>
      <c r="L313">
        <f>VLOOKUP(Table1[[#This Row],[Supplier ID]],Suppliers!$A$2:$D$6,4,FALSE)</f>
        <v>18</v>
      </c>
      <c r="M313">
        <f>Table1[[#This Row],[Actual Delivery]]-Table1[[#This Row],[Order Date]]-Table1[[#This Row],[std Lead time]]</f>
        <v>0</v>
      </c>
      <c r="N313">
        <f>IF(AND(Table1[[#This Row],[Status]] = "Delivered", Table1[[#This Row],[Actual Delivery]] &lt;= Table1[[#This Row],[Promised Delivery]],Table1[[#This Row],[FillRate]]&gt;=0.95),1,0)</f>
        <v>0</v>
      </c>
      <c r="O313" t="str">
        <f>VLOOKUP(B313,Products!$A$2:$D$9,3,FALSE)</f>
        <v>Packaging</v>
      </c>
    </row>
    <row r="314" spans="1:15" x14ac:dyDescent="0.25">
      <c r="A314" s="14" t="s">
        <v>340</v>
      </c>
      <c r="B314" s="2" t="s">
        <v>44</v>
      </c>
      <c r="C314" s="2" t="s">
        <v>57</v>
      </c>
      <c r="D314" s="2" t="s">
        <v>18</v>
      </c>
      <c r="E314" s="3">
        <v>45551</v>
      </c>
      <c r="F314" s="20">
        <v>45572</v>
      </c>
      <c r="G314" s="20">
        <v>45570</v>
      </c>
      <c r="H314" s="2">
        <v>798</v>
      </c>
      <c r="I314" s="2">
        <v>720</v>
      </c>
      <c r="J314" s="4" t="s">
        <v>14</v>
      </c>
      <c r="K314">
        <f>Table1[[#This Row],[Delivered Qty]]/Table1[[#This Row],[Ordered Qty]]</f>
        <v>0.90225563909774431</v>
      </c>
      <c r="L314">
        <f>VLOOKUP(Table1[[#This Row],[Supplier ID]],Suppliers!$A$2:$D$6,4,FALSE)</f>
        <v>21</v>
      </c>
      <c r="M314">
        <f>Table1[[#This Row],[Actual Delivery]]-Table1[[#This Row],[Order Date]]-Table1[[#This Row],[std Lead time]]</f>
        <v>-2</v>
      </c>
      <c r="N314">
        <f>IF(AND(Table1[[#This Row],[Status]] = "Delivered", Table1[[#This Row],[Actual Delivery]] &lt;= Table1[[#This Row],[Promised Delivery]],Table1[[#This Row],[FillRate]]&gt;=0.95),1,0)</f>
        <v>0</v>
      </c>
      <c r="O314" t="str">
        <f>VLOOKUP(B314,Products!$A$2:$D$9,3,FALSE)</f>
        <v>Finished Goods</v>
      </c>
    </row>
    <row r="315" spans="1:15" x14ac:dyDescent="0.25">
      <c r="A315" s="15" t="s">
        <v>341</v>
      </c>
      <c r="B315" s="5" t="s">
        <v>20</v>
      </c>
      <c r="C315" s="5" t="s">
        <v>17</v>
      </c>
      <c r="D315" s="5" t="s">
        <v>23</v>
      </c>
      <c r="E315" s="6">
        <v>45541</v>
      </c>
      <c r="F315" s="21">
        <v>45547</v>
      </c>
      <c r="G315" s="21">
        <v>45546</v>
      </c>
      <c r="H315" s="5">
        <v>1325</v>
      </c>
      <c r="I315" s="5">
        <v>1260</v>
      </c>
      <c r="J315" s="4" t="s">
        <v>14</v>
      </c>
      <c r="K315">
        <f>Table1[[#This Row],[Delivered Qty]]/Table1[[#This Row],[Ordered Qty]]</f>
        <v>0.95094339622641511</v>
      </c>
      <c r="L315">
        <f>VLOOKUP(Table1[[#This Row],[Supplier ID]],Suppliers!$A$2:$D$6,4,FALSE)</f>
        <v>6</v>
      </c>
      <c r="M315">
        <f>Table1[[#This Row],[Actual Delivery]]-Table1[[#This Row],[Order Date]]-Table1[[#This Row],[std Lead time]]</f>
        <v>-1</v>
      </c>
      <c r="N315">
        <f>IF(AND(Table1[[#This Row],[Status]] = "Delivered", Table1[[#This Row],[Actual Delivery]] &lt;= Table1[[#This Row],[Promised Delivery]],Table1[[#This Row],[FillRate]]&gt;=0.95),1,0)</f>
        <v>1</v>
      </c>
      <c r="O315" t="str">
        <f>VLOOKUP(B315,Products!$A$2:$D$9,3,FALSE)</f>
        <v>Raw Material</v>
      </c>
    </row>
    <row r="316" spans="1:15" x14ac:dyDescent="0.25">
      <c r="A316" s="14" t="s">
        <v>342</v>
      </c>
      <c r="B316" s="2" t="s">
        <v>16</v>
      </c>
      <c r="C316" s="2" t="s">
        <v>12</v>
      </c>
      <c r="D316" s="2" t="s">
        <v>23</v>
      </c>
      <c r="E316" s="3">
        <v>45553</v>
      </c>
      <c r="F316" s="20">
        <v>45571</v>
      </c>
      <c r="G316" s="20">
        <v>45569</v>
      </c>
      <c r="H316" s="2">
        <v>1707</v>
      </c>
      <c r="I316" s="2">
        <v>1643</v>
      </c>
      <c r="J316" s="4" t="s">
        <v>14</v>
      </c>
      <c r="K316">
        <f>Table1[[#This Row],[Delivered Qty]]/Table1[[#This Row],[Ordered Qty]]</f>
        <v>0.96250732278851792</v>
      </c>
      <c r="L316">
        <f>VLOOKUP(Table1[[#This Row],[Supplier ID]],Suppliers!$A$2:$D$6,4,FALSE)</f>
        <v>18</v>
      </c>
      <c r="M316">
        <f>Table1[[#This Row],[Actual Delivery]]-Table1[[#This Row],[Order Date]]-Table1[[#This Row],[std Lead time]]</f>
        <v>-2</v>
      </c>
      <c r="N316">
        <f>IF(AND(Table1[[#This Row],[Status]] = "Delivered", Table1[[#This Row],[Actual Delivery]] &lt;= Table1[[#This Row],[Promised Delivery]],Table1[[#This Row],[FillRate]]&gt;=0.95),1,0)</f>
        <v>1</v>
      </c>
      <c r="O316" t="str">
        <f>VLOOKUP(B316,Products!$A$2:$D$9,3,FALSE)</f>
        <v>Packaging</v>
      </c>
    </row>
    <row r="317" spans="1:15" x14ac:dyDescent="0.25">
      <c r="A317" s="15" t="s">
        <v>343</v>
      </c>
      <c r="B317" s="5" t="s">
        <v>37</v>
      </c>
      <c r="C317" s="5" t="s">
        <v>26</v>
      </c>
      <c r="D317" s="5" t="s">
        <v>18</v>
      </c>
      <c r="E317" s="6">
        <v>45574</v>
      </c>
      <c r="F317" s="21">
        <v>45581</v>
      </c>
      <c r="G317" s="21">
        <v>45582</v>
      </c>
      <c r="H317" s="5">
        <v>1099</v>
      </c>
      <c r="I317" s="5">
        <v>1084</v>
      </c>
      <c r="J317" s="4" t="s">
        <v>14</v>
      </c>
      <c r="K317">
        <f>Table1[[#This Row],[Delivered Qty]]/Table1[[#This Row],[Ordered Qty]]</f>
        <v>0.986351228389445</v>
      </c>
      <c r="L317">
        <f>VLOOKUP(Table1[[#This Row],[Supplier ID]],Suppliers!$A$2:$D$6,4,FALSE)</f>
        <v>7</v>
      </c>
      <c r="M317">
        <f>Table1[[#This Row],[Actual Delivery]]-Table1[[#This Row],[Order Date]]-Table1[[#This Row],[std Lead time]]</f>
        <v>1</v>
      </c>
      <c r="N317">
        <f>IF(AND(Table1[[#This Row],[Status]] = "Delivered", Table1[[#This Row],[Actual Delivery]] &lt;= Table1[[#This Row],[Promised Delivery]],Table1[[#This Row],[FillRate]]&gt;=0.95),1,0)</f>
        <v>0</v>
      </c>
      <c r="O317" t="str">
        <f>VLOOKUP(B317,Products!$A$2:$D$9,3,FALSE)</f>
        <v>Raw Material</v>
      </c>
    </row>
    <row r="318" spans="1:15" x14ac:dyDescent="0.25">
      <c r="A318" s="14" t="s">
        <v>344</v>
      </c>
      <c r="B318" s="2" t="s">
        <v>16</v>
      </c>
      <c r="C318" s="2" t="s">
        <v>31</v>
      </c>
      <c r="D318" s="2" t="s">
        <v>13</v>
      </c>
      <c r="E318" s="3">
        <v>45591</v>
      </c>
      <c r="F318" s="20">
        <v>45596</v>
      </c>
      <c r="G318" s="20">
        <v>45601</v>
      </c>
      <c r="H318" s="2">
        <v>1495</v>
      </c>
      <c r="I318" s="2">
        <v>1306</v>
      </c>
      <c r="J318" s="4" t="s">
        <v>14</v>
      </c>
      <c r="K318">
        <f>Table1[[#This Row],[Delivered Qty]]/Table1[[#This Row],[Ordered Qty]]</f>
        <v>0.87357859531772575</v>
      </c>
      <c r="L318">
        <f>VLOOKUP(Table1[[#This Row],[Supplier ID]],Suppliers!$A$2:$D$6,4,FALSE)</f>
        <v>5</v>
      </c>
      <c r="M318">
        <f>Table1[[#This Row],[Actual Delivery]]-Table1[[#This Row],[Order Date]]-Table1[[#This Row],[std Lead time]]</f>
        <v>5</v>
      </c>
      <c r="N318">
        <f>IF(AND(Table1[[#This Row],[Status]] = "Delivered", Table1[[#This Row],[Actual Delivery]] &lt;= Table1[[#This Row],[Promised Delivery]],Table1[[#This Row],[FillRate]]&gt;=0.95),1,0)</f>
        <v>0</v>
      </c>
      <c r="O318" t="str">
        <f>VLOOKUP(B318,Products!$A$2:$D$9,3,FALSE)</f>
        <v>Packaging</v>
      </c>
    </row>
    <row r="319" spans="1:15" x14ac:dyDescent="0.25">
      <c r="A319" s="15" t="s">
        <v>345</v>
      </c>
      <c r="B319" s="5" t="s">
        <v>33</v>
      </c>
      <c r="C319" s="5" t="s">
        <v>31</v>
      </c>
      <c r="D319" s="5" t="s">
        <v>13</v>
      </c>
      <c r="E319" s="6">
        <v>45591</v>
      </c>
      <c r="F319" s="21">
        <v>45596</v>
      </c>
      <c r="G319" s="21">
        <v>45596</v>
      </c>
      <c r="H319" s="5">
        <v>775</v>
      </c>
      <c r="I319" s="5">
        <v>743</v>
      </c>
      <c r="J319" s="4" t="s">
        <v>14</v>
      </c>
      <c r="K319">
        <f>Table1[[#This Row],[Delivered Qty]]/Table1[[#This Row],[Ordered Qty]]</f>
        <v>0.95870967741935487</v>
      </c>
      <c r="L319">
        <f>VLOOKUP(Table1[[#This Row],[Supplier ID]],Suppliers!$A$2:$D$6,4,FALSE)</f>
        <v>5</v>
      </c>
      <c r="M319">
        <f>Table1[[#This Row],[Actual Delivery]]-Table1[[#This Row],[Order Date]]-Table1[[#This Row],[std Lead time]]</f>
        <v>0</v>
      </c>
      <c r="N319">
        <f>IF(AND(Table1[[#This Row],[Status]] = "Delivered", Table1[[#This Row],[Actual Delivery]] &lt;= Table1[[#This Row],[Promised Delivery]],Table1[[#This Row],[FillRate]]&gt;=0.95),1,0)</f>
        <v>1</v>
      </c>
      <c r="O319" t="str">
        <f>VLOOKUP(B319,Products!$A$2:$D$9,3,FALSE)</f>
        <v>Raw Material</v>
      </c>
    </row>
    <row r="320" spans="1:15" x14ac:dyDescent="0.25">
      <c r="A320" s="14" t="s">
        <v>346</v>
      </c>
      <c r="B320" s="2" t="s">
        <v>33</v>
      </c>
      <c r="C320" s="2" t="s">
        <v>12</v>
      </c>
      <c r="D320" s="2" t="s">
        <v>23</v>
      </c>
      <c r="E320" s="3">
        <v>45575</v>
      </c>
      <c r="F320" s="20">
        <v>45593</v>
      </c>
      <c r="G320" s="20">
        <v>45592</v>
      </c>
      <c r="H320" s="2">
        <v>321</v>
      </c>
      <c r="I320" s="2">
        <v>320</v>
      </c>
      <c r="J320" s="4" t="s">
        <v>14</v>
      </c>
      <c r="K320">
        <f>Table1[[#This Row],[Delivered Qty]]/Table1[[#This Row],[Ordered Qty]]</f>
        <v>0.99688473520249221</v>
      </c>
      <c r="L320">
        <f>VLOOKUP(Table1[[#This Row],[Supplier ID]],Suppliers!$A$2:$D$6,4,FALSE)</f>
        <v>18</v>
      </c>
      <c r="M320">
        <f>Table1[[#This Row],[Actual Delivery]]-Table1[[#This Row],[Order Date]]-Table1[[#This Row],[std Lead time]]</f>
        <v>-1</v>
      </c>
      <c r="N320">
        <f>IF(AND(Table1[[#This Row],[Status]] = "Delivered", Table1[[#This Row],[Actual Delivery]] &lt;= Table1[[#This Row],[Promised Delivery]],Table1[[#This Row],[FillRate]]&gt;=0.95),1,0)</f>
        <v>1</v>
      </c>
      <c r="O320" t="str">
        <f>VLOOKUP(B320,Products!$A$2:$D$9,3,FALSE)</f>
        <v>Raw Material</v>
      </c>
    </row>
    <row r="321" spans="1:15" x14ac:dyDescent="0.25">
      <c r="A321" s="15" t="s">
        <v>347</v>
      </c>
      <c r="B321" s="5" t="s">
        <v>33</v>
      </c>
      <c r="C321" s="5" t="s">
        <v>31</v>
      </c>
      <c r="D321" s="5" t="s">
        <v>13</v>
      </c>
      <c r="E321" s="6">
        <v>45570</v>
      </c>
      <c r="F321" s="21">
        <v>45575</v>
      </c>
      <c r="G321" s="21">
        <v>45581</v>
      </c>
      <c r="H321" s="5">
        <v>1004</v>
      </c>
      <c r="I321" s="5">
        <v>952</v>
      </c>
      <c r="J321" s="4" t="s">
        <v>14</v>
      </c>
      <c r="K321">
        <f>Table1[[#This Row],[Delivered Qty]]/Table1[[#This Row],[Ordered Qty]]</f>
        <v>0.94820717131474108</v>
      </c>
      <c r="L321">
        <f>VLOOKUP(Table1[[#This Row],[Supplier ID]],Suppliers!$A$2:$D$6,4,FALSE)</f>
        <v>5</v>
      </c>
      <c r="M321">
        <f>Table1[[#This Row],[Actual Delivery]]-Table1[[#This Row],[Order Date]]-Table1[[#This Row],[std Lead time]]</f>
        <v>6</v>
      </c>
      <c r="N321">
        <f>IF(AND(Table1[[#This Row],[Status]] = "Delivered", Table1[[#This Row],[Actual Delivery]] &lt;= Table1[[#This Row],[Promised Delivery]],Table1[[#This Row],[FillRate]]&gt;=0.95),1,0)</f>
        <v>0</v>
      </c>
      <c r="O321" t="str">
        <f>VLOOKUP(B321,Products!$A$2:$D$9,3,FALSE)</f>
        <v>Raw Material</v>
      </c>
    </row>
    <row r="322" spans="1:15" x14ac:dyDescent="0.25">
      <c r="A322" s="14" t="s">
        <v>348</v>
      </c>
      <c r="B322" s="2" t="s">
        <v>37</v>
      </c>
      <c r="C322" s="2" t="s">
        <v>57</v>
      </c>
      <c r="D322" s="2" t="s">
        <v>18</v>
      </c>
      <c r="E322" s="3">
        <v>45580</v>
      </c>
      <c r="F322" s="20">
        <v>45601</v>
      </c>
      <c r="G322" s="20">
        <v>45601</v>
      </c>
      <c r="H322" s="2">
        <v>1996</v>
      </c>
      <c r="I322" s="2">
        <v>1870</v>
      </c>
      <c r="J322" s="4" t="s">
        <v>14</v>
      </c>
      <c r="K322">
        <f>Table1[[#This Row],[Delivered Qty]]/Table1[[#This Row],[Ordered Qty]]</f>
        <v>0.93687374749498997</v>
      </c>
      <c r="L322">
        <f>VLOOKUP(Table1[[#This Row],[Supplier ID]],Suppliers!$A$2:$D$6,4,FALSE)</f>
        <v>21</v>
      </c>
      <c r="M322">
        <f>Table1[[#This Row],[Actual Delivery]]-Table1[[#This Row],[Order Date]]-Table1[[#This Row],[std Lead time]]</f>
        <v>0</v>
      </c>
      <c r="N322">
        <f>IF(AND(Table1[[#This Row],[Status]] = "Delivered", Table1[[#This Row],[Actual Delivery]] &lt;= Table1[[#This Row],[Promised Delivery]],Table1[[#This Row],[FillRate]]&gt;=0.95),1,0)</f>
        <v>0</v>
      </c>
      <c r="O322" t="str">
        <f>VLOOKUP(B322,Products!$A$2:$D$9,3,FALSE)</f>
        <v>Raw Material</v>
      </c>
    </row>
    <row r="323" spans="1:15" x14ac:dyDescent="0.25">
      <c r="A323" s="15" t="s">
        <v>349</v>
      </c>
      <c r="B323" s="5" t="s">
        <v>44</v>
      </c>
      <c r="C323" s="5" t="s">
        <v>12</v>
      </c>
      <c r="D323" s="5" t="s">
        <v>28</v>
      </c>
      <c r="E323" s="6">
        <v>45593</v>
      </c>
      <c r="F323" s="21">
        <v>45611</v>
      </c>
      <c r="G323" s="21">
        <v>45609</v>
      </c>
      <c r="H323" s="5">
        <v>1829</v>
      </c>
      <c r="I323" s="5">
        <v>1743</v>
      </c>
      <c r="J323" s="4" t="s">
        <v>14</v>
      </c>
      <c r="K323">
        <f>Table1[[#This Row],[Delivered Qty]]/Table1[[#This Row],[Ordered Qty]]</f>
        <v>0.95297977036632042</v>
      </c>
      <c r="L323">
        <f>VLOOKUP(Table1[[#This Row],[Supplier ID]],Suppliers!$A$2:$D$6,4,FALSE)</f>
        <v>18</v>
      </c>
      <c r="M323">
        <f>Table1[[#This Row],[Actual Delivery]]-Table1[[#This Row],[Order Date]]-Table1[[#This Row],[std Lead time]]</f>
        <v>-2</v>
      </c>
      <c r="N323">
        <f>IF(AND(Table1[[#This Row],[Status]] = "Delivered", Table1[[#This Row],[Actual Delivery]] &lt;= Table1[[#This Row],[Promised Delivery]],Table1[[#This Row],[FillRate]]&gt;=0.95),1,0)</f>
        <v>1</v>
      </c>
      <c r="O323" t="str">
        <f>VLOOKUP(B323,Products!$A$2:$D$9,3,FALSE)</f>
        <v>Finished Goods</v>
      </c>
    </row>
    <row r="324" spans="1:15" x14ac:dyDescent="0.25">
      <c r="A324" s="14" t="s">
        <v>350</v>
      </c>
      <c r="B324" s="2" t="s">
        <v>20</v>
      </c>
      <c r="C324" s="2" t="s">
        <v>57</v>
      </c>
      <c r="D324" s="2" t="s">
        <v>13</v>
      </c>
      <c r="E324" s="3">
        <v>45581</v>
      </c>
      <c r="F324" s="20">
        <v>45602</v>
      </c>
      <c r="G324" s="20">
        <v>45602</v>
      </c>
      <c r="H324" s="2">
        <v>467</v>
      </c>
      <c r="I324" s="2">
        <v>446</v>
      </c>
      <c r="J324" s="4" t="s">
        <v>14</v>
      </c>
      <c r="K324">
        <f>Table1[[#This Row],[Delivered Qty]]/Table1[[#This Row],[Ordered Qty]]</f>
        <v>0.95503211991434689</v>
      </c>
      <c r="L324">
        <f>VLOOKUP(Table1[[#This Row],[Supplier ID]],Suppliers!$A$2:$D$6,4,FALSE)</f>
        <v>21</v>
      </c>
      <c r="M324">
        <f>Table1[[#This Row],[Actual Delivery]]-Table1[[#This Row],[Order Date]]-Table1[[#This Row],[std Lead time]]</f>
        <v>0</v>
      </c>
      <c r="N324">
        <f>IF(AND(Table1[[#This Row],[Status]] = "Delivered", Table1[[#This Row],[Actual Delivery]] &lt;= Table1[[#This Row],[Promised Delivery]],Table1[[#This Row],[FillRate]]&gt;=0.95),1,0)</f>
        <v>1</v>
      </c>
      <c r="O324" t="str">
        <f>VLOOKUP(B324,Products!$A$2:$D$9,3,FALSE)</f>
        <v>Raw Material</v>
      </c>
    </row>
    <row r="325" spans="1:15" x14ac:dyDescent="0.25">
      <c r="A325" s="15" t="s">
        <v>351</v>
      </c>
      <c r="B325" s="5" t="s">
        <v>44</v>
      </c>
      <c r="C325" s="5" t="s">
        <v>12</v>
      </c>
      <c r="D325" s="5" t="s">
        <v>28</v>
      </c>
      <c r="E325" s="6">
        <v>45567</v>
      </c>
      <c r="F325" s="21">
        <v>45585</v>
      </c>
      <c r="G325" s="21">
        <v>45583</v>
      </c>
      <c r="H325" s="5">
        <v>1103</v>
      </c>
      <c r="I325" s="5">
        <v>1043</v>
      </c>
      <c r="J325" s="4" t="s">
        <v>14</v>
      </c>
      <c r="K325">
        <f>Table1[[#This Row],[Delivered Qty]]/Table1[[#This Row],[Ordered Qty]]</f>
        <v>0.94560290117860379</v>
      </c>
      <c r="L325">
        <f>VLOOKUP(Table1[[#This Row],[Supplier ID]],Suppliers!$A$2:$D$6,4,FALSE)</f>
        <v>18</v>
      </c>
      <c r="M325">
        <f>Table1[[#This Row],[Actual Delivery]]-Table1[[#This Row],[Order Date]]-Table1[[#This Row],[std Lead time]]</f>
        <v>-2</v>
      </c>
      <c r="N325">
        <f>IF(AND(Table1[[#This Row],[Status]] = "Delivered", Table1[[#This Row],[Actual Delivery]] &lt;= Table1[[#This Row],[Promised Delivery]],Table1[[#This Row],[FillRate]]&gt;=0.95),1,0)</f>
        <v>0</v>
      </c>
      <c r="O325" t="str">
        <f>VLOOKUP(B325,Products!$A$2:$D$9,3,FALSE)</f>
        <v>Finished Goods</v>
      </c>
    </row>
    <row r="326" spans="1:15" x14ac:dyDescent="0.25">
      <c r="A326" s="14" t="s">
        <v>352</v>
      </c>
      <c r="B326" s="2" t="s">
        <v>22</v>
      </c>
      <c r="C326" s="2" t="s">
        <v>31</v>
      </c>
      <c r="D326" s="2" t="s">
        <v>13</v>
      </c>
      <c r="E326" s="3">
        <v>45586</v>
      </c>
      <c r="F326" s="20">
        <v>45591</v>
      </c>
      <c r="G326" s="20">
        <v>45590</v>
      </c>
      <c r="H326" s="2">
        <v>391</v>
      </c>
      <c r="I326" s="2">
        <v>377</v>
      </c>
      <c r="J326" s="4" t="s">
        <v>14</v>
      </c>
      <c r="K326">
        <f>Table1[[#This Row],[Delivered Qty]]/Table1[[#This Row],[Ordered Qty]]</f>
        <v>0.96419437340153458</v>
      </c>
      <c r="L326">
        <f>VLOOKUP(Table1[[#This Row],[Supplier ID]],Suppliers!$A$2:$D$6,4,FALSE)</f>
        <v>5</v>
      </c>
      <c r="M326">
        <f>Table1[[#This Row],[Actual Delivery]]-Table1[[#This Row],[Order Date]]-Table1[[#This Row],[std Lead time]]</f>
        <v>-1</v>
      </c>
      <c r="N326">
        <f>IF(AND(Table1[[#This Row],[Status]] = "Delivered", Table1[[#This Row],[Actual Delivery]] &lt;= Table1[[#This Row],[Promised Delivery]],Table1[[#This Row],[FillRate]]&gt;=0.95),1,0)</f>
        <v>1</v>
      </c>
      <c r="O326" t="str">
        <f>VLOOKUP(B326,Products!$A$2:$D$9,3,FALSE)</f>
        <v>Finished Goods</v>
      </c>
    </row>
    <row r="327" spans="1:15" x14ac:dyDescent="0.25">
      <c r="A327" s="15" t="s">
        <v>353</v>
      </c>
      <c r="B327" s="5" t="s">
        <v>37</v>
      </c>
      <c r="C327" s="5" t="s">
        <v>26</v>
      </c>
      <c r="D327" s="5" t="s">
        <v>23</v>
      </c>
      <c r="E327" s="6">
        <v>45587</v>
      </c>
      <c r="F327" s="21">
        <v>45594</v>
      </c>
      <c r="G327" s="21">
        <v>45594</v>
      </c>
      <c r="H327" s="5">
        <v>825</v>
      </c>
      <c r="I327" s="5">
        <v>802</v>
      </c>
      <c r="J327" s="4" t="s">
        <v>14</v>
      </c>
      <c r="K327">
        <f>Table1[[#This Row],[Delivered Qty]]/Table1[[#This Row],[Ordered Qty]]</f>
        <v>0.97212121212121216</v>
      </c>
      <c r="L327">
        <f>VLOOKUP(Table1[[#This Row],[Supplier ID]],Suppliers!$A$2:$D$6,4,FALSE)</f>
        <v>7</v>
      </c>
      <c r="M327">
        <f>Table1[[#This Row],[Actual Delivery]]-Table1[[#This Row],[Order Date]]-Table1[[#This Row],[std Lead time]]</f>
        <v>0</v>
      </c>
      <c r="N327">
        <f>IF(AND(Table1[[#This Row],[Status]] = "Delivered", Table1[[#This Row],[Actual Delivery]] &lt;= Table1[[#This Row],[Promised Delivery]],Table1[[#This Row],[FillRate]]&gt;=0.95),1,0)</f>
        <v>1</v>
      </c>
      <c r="O327" t="str">
        <f>VLOOKUP(B327,Products!$A$2:$D$9,3,FALSE)</f>
        <v>Raw Material</v>
      </c>
    </row>
    <row r="328" spans="1:15" x14ac:dyDescent="0.25">
      <c r="A328" s="14" t="s">
        <v>354</v>
      </c>
      <c r="B328" s="2" t="s">
        <v>20</v>
      </c>
      <c r="C328" s="2" t="s">
        <v>57</v>
      </c>
      <c r="D328" s="2" t="s">
        <v>28</v>
      </c>
      <c r="E328" s="3">
        <v>45588</v>
      </c>
      <c r="F328" s="20">
        <v>45609</v>
      </c>
      <c r="G328" s="20">
        <v>45609</v>
      </c>
      <c r="H328" s="2">
        <v>663</v>
      </c>
      <c r="I328" s="2">
        <v>631</v>
      </c>
      <c r="J328" s="4" t="s">
        <v>14</v>
      </c>
      <c r="K328">
        <f>Table1[[#This Row],[Delivered Qty]]/Table1[[#This Row],[Ordered Qty]]</f>
        <v>0.95173453996983404</v>
      </c>
      <c r="L328">
        <f>VLOOKUP(Table1[[#This Row],[Supplier ID]],Suppliers!$A$2:$D$6,4,FALSE)</f>
        <v>21</v>
      </c>
      <c r="M328">
        <f>Table1[[#This Row],[Actual Delivery]]-Table1[[#This Row],[Order Date]]-Table1[[#This Row],[std Lead time]]</f>
        <v>0</v>
      </c>
      <c r="N328">
        <f>IF(AND(Table1[[#This Row],[Status]] = "Delivered", Table1[[#This Row],[Actual Delivery]] &lt;= Table1[[#This Row],[Promised Delivery]],Table1[[#This Row],[FillRate]]&gt;=0.95),1,0)</f>
        <v>1</v>
      </c>
      <c r="O328" t="str">
        <f>VLOOKUP(B328,Products!$A$2:$D$9,3,FALSE)</f>
        <v>Raw Material</v>
      </c>
    </row>
    <row r="329" spans="1:15" x14ac:dyDescent="0.25">
      <c r="A329" s="15" t="s">
        <v>355</v>
      </c>
      <c r="B329" s="5" t="s">
        <v>44</v>
      </c>
      <c r="C329" s="5" t="s">
        <v>26</v>
      </c>
      <c r="D329" s="5" t="s">
        <v>28</v>
      </c>
      <c r="E329" s="6">
        <v>45588</v>
      </c>
      <c r="F329" s="21">
        <v>45595</v>
      </c>
      <c r="G329" s="21">
        <v>45599</v>
      </c>
      <c r="H329" s="5">
        <v>1621</v>
      </c>
      <c r="I329" s="5">
        <v>1480</v>
      </c>
      <c r="J329" s="4" t="s">
        <v>14</v>
      </c>
      <c r="K329">
        <f>Table1[[#This Row],[Delivered Qty]]/Table1[[#This Row],[Ordered Qty]]</f>
        <v>0.91301665638494756</v>
      </c>
      <c r="L329">
        <f>VLOOKUP(Table1[[#This Row],[Supplier ID]],Suppliers!$A$2:$D$6,4,FALSE)</f>
        <v>7</v>
      </c>
      <c r="M329">
        <f>Table1[[#This Row],[Actual Delivery]]-Table1[[#This Row],[Order Date]]-Table1[[#This Row],[std Lead time]]</f>
        <v>4</v>
      </c>
      <c r="N329">
        <f>IF(AND(Table1[[#This Row],[Status]] = "Delivered", Table1[[#This Row],[Actual Delivery]] &lt;= Table1[[#This Row],[Promised Delivery]],Table1[[#This Row],[FillRate]]&gt;=0.95),1,0)</f>
        <v>0</v>
      </c>
      <c r="O329" t="str">
        <f>VLOOKUP(B329,Products!$A$2:$D$9,3,FALSE)</f>
        <v>Finished Goods</v>
      </c>
    </row>
    <row r="330" spans="1:15" x14ac:dyDescent="0.25">
      <c r="A330" s="14" t="s">
        <v>356</v>
      </c>
      <c r="B330" s="2" t="s">
        <v>16</v>
      </c>
      <c r="C330" s="2" t="s">
        <v>31</v>
      </c>
      <c r="D330" s="2" t="s">
        <v>18</v>
      </c>
      <c r="E330" s="3">
        <v>45568</v>
      </c>
      <c r="F330" s="20">
        <v>45573</v>
      </c>
      <c r="G330" s="20">
        <v>45572</v>
      </c>
      <c r="H330" s="2">
        <v>812</v>
      </c>
      <c r="I330" s="2">
        <v>657</v>
      </c>
      <c r="J330" s="4" t="s">
        <v>14</v>
      </c>
      <c r="K330">
        <f>Table1[[#This Row],[Delivered Qty]]/Table1[[#This Row],[Ordered Qty]]</f>
        <v>0.80911330049261088</v>
      </c>
      <c r="L330">
        <f>VLOOKUP(Table1[[#This Row],[Supplier ID]],Suppliers!$A$2:$D$6,4,FALSE)</f>
        <v>5</v>
      </c>
      <c r="M330">
        <f>Table1[[#This Row],[Actual Delivery]]-Table1[[#This Row],[Order Date]]-Table1[[#This Row],[std Lead time]]</f>
        <v>-1</v>
      </c>
      <c r="N330">
        <f>IF(AND(Table1[[#This Row],[Status]] = "Delivered", Table1[[#This Row],[Actual Delivery]] &lt;= Table1[[#This Row],[Promised Delivery]],Table1[[#This Row],[FillRate]]&gt;=0.95),1,0)</f>
        <v>0</v>
      </c>
      <c r="O330" t="str">
        <f>VLOOKUP(B330,Products!$A$2:$D$9,3,FALSE)</f>
        <v>Packaging</v>
      </c>
    </row>
    <row r="331" spans="1:15" x14ac:dyDescent="0.25">
      <c r="A331" s="15" t="s">
        <v>357</v>
      </c>
      <c r="B331" s="5" t="s">
        <v>33</v>
      </c>
      <c r="C331" s="5" t="s">
        <v>31</v>
      </c>
      <c r="D331" s="5" t="s">
        <v>28</v>
      </c>
      <c r="E331" s="6">
        <v>45582</v>
      </c>
      <c r="F331" s="21">
        <v>45587</v>
      </c>
      <c r="G331" s="21">
        <v>45585</v>
      </c>
      <c r="H331" s="5">
        <v>1101</v>
      </c>
      <c r="I331" s="5">
        <v>1029</v>
      </c>
      <c r="J331" s="4" t="s">
        <v>14</v>
      </c>
      <c r="K331">
        <f>Table1[[#This Row],[Delivered Qty]]/Table1[[#This Row],[Ordered Qty]]</f>
        <v>0.93460490463215262</v>
      </c>
      <c r="L331">
        <f>VLOOKUP(Table1[[#This Row],[Supplier ID]],Suppliers!$A$2:$D$6,4,FALSE)</f>
        <v>5</v>
      </c>
      <c r="M331">
        <f>Table1[[#This Row],[Actual Delivery]]-Table1[[#This Row],[Order Date]]-Table1[[#This Row],[std Lead time]]</f>
        <v>-2</v>
      </c>
      <c r="N331">
        <f>IF(AND(Table1[[#This Row],[Status]] = "Delivered", Table1[[#This Row],[Actual Delivery]] &lt;= Table1[[#This Row],[Promised Delivery]],Table1[[#This Row],[FillRate]]&gt;=0.95),1,0)</f>
        <v>0</v>
      </c>
      <c r="O331" t="str">
        <f>VLOOKUP(B331,Products!$A$2:$D$9,3,FALSE)</f>
        <v>Raw Material</v>
      </c>
    </row>
    <row r="332" spans="1:15" x14ac:dyDescent="0.25">
      <c r="A332" s="14" t="s">
        <v>358</v>
      </c>
      <c r="B332" s="2" t="s">
        <v>20</v>
      </c>
      <c r="C332" s="2" t="s">
        <v>31</v>
      </c>
      <c r="D332" s="2" t="s">
        <v>18</v>
      </c>
      <c r="E332" s="3">
        <v>45585</v>
      </c>
      <c r="F332" s="20">
        <v>45590</v>
      </c>
      <c r="G332" s="20">
        <v>45591</v>
      </c>
      <c r="H332" s="2">
        <v>405</v>
      </c>
      <c r="I332" s="2">
        <v>370</v>
      </c>
      <c r="J332" s="4" t="s">
        <v>14</v>
      </c>
      <c r="K332">
        <f>Table1[[#This Row],[Delivered Qty]]/Table1[[#This Row],[Ordered Qty]]</f>
        <v>0.9135802469135802</v>
      </c>
      <c r="L332">
        <f>VLOOKUP(Table1[[#This Row],[Supplier ID]],Suppliers!$A$2:$D$6,4,FALSE)</f>
        <v>5</v>
      </c>
      <c r="M332">
        <f>Table1[[#This Row],[Actual Delivery]]-Table1[[#This Row],[Order Date]]-Table1[[#This Row],[std Lead time]]</f>
        <v>1</v>
      </c>
      <c r="N332">
        <f>IF(AND(Table1[[#This Row],[Status]] = "Delivered", Table1[[#This Row],[Actual Delivery]] &lt;= Table1[[#This Row],[Promised Delivery]],Table1[[#This Row],[FillRate]]&gt;=0.95),1,0)</f>
        <v>0</v>
      </c>
      <c r="O332" t="str">
        <f>VLOOKUP(B332,Products!$A$2:$D$9,3,FALSE)</f>
        <v>Raw Material</v>
      </c>
    </row>
    <row r="333" spans="1:15" x14ac:dyDescent="0.25">
      <c r="A333" s="15" t="s">
        <v>359</v>
      </c>
      <c r="B333" s="5" t="s">
        <v>16</v>
      </c>
      <c r="C333" s="5" t="s">
        <v>17</v>
      </c>
      <c r="D333" s="5" t="s">
        <v>18</v>
      </c>
      <c r="E333" s="6">
        <v>45577</v>
      </c>
      <c r="F333" s="21">
        <v>45583</v>
      </c>
      <c r="G333" s="21">
        <v>45581</v>
      </c>
      <c r="H333" s="5">
        <v>707</v>
      </c>
      <c r="I333" s="5">
        <v>594</v>
      </c>
      <c r="J333" s="4" t="s">
        <v>14</v>
      </c>
      <c r="K333">
        <f>Table1[[#This Row],[Delivered Qty]]/Table1[[#This Row],[Ordered Qty]]</f>
        <v>0.8401697312588402</v>
      </c>
      <c r="L333">
        <f>VLOOKUP(Table1[[#This Row],[Supplier ID]],Suppliers!$A$2:$D$6,4,FALSE)</f>
        <v>6</v>
      </c>
      <c r="M333">
        <f>Table1[[#This Row],[Actual Delivery]]-Table1[[#This Row],[Order Date]]-Table1[[#This Row],[std Lead time]]</f>
        <v>-2</v>
      </c>
      <c r="N333">
        <f>IF(AND(Table1[[#This Row],[Status]] = "Delivered", Table1[[#This Row],[Actual Delivery]] &lt;= Table1[[#This Row],[Promised Delivery]],Table1[[#This Row],[FillRate]]&gt;=0.95),1,0)</f>
        <v>0</v>
      </c>
      <c r="O333" t="str">
        <f>VLOOKUP(B333,Products!$A$2:$D$9,3,FALSE)</f>
        <v>Packaging</v>
      </c>
    </row>
    <row r="334" spans="1:15" x14ac:dyDescent="0.25">
      <c r="A334" s="14" t="s">
        <v>360</v>
      </c>
      <c r="B334" s="2" t="s">
        <v>16</v>
      </c>
      <c r="C334" s="2" t="s">
        <v>31</v>
      </c>
      <c r="D334" s="2" t="s">
        <v>23</v>
      </c>
      <c r="E334" s="3">
        <v>45590</v>
      </c>
      <c r="F334" s="20">
        <v>45595</v>
      </c>
      <c r="G334" s="20">
        <v>45601</v>
      </c>
      <c r="H334" s="2">
        <v>1993</v>
      </c>
      <c r="I334" s="2">
        <v>1686</v>
      </c>
      <c r="J334" s="4" t="s">
        <v>14</v>
      </c>
      <c r="K334">
        <f>Table1[[#This Row],[Delivered Qty]]/Table1[[#This Row],[Ordered Qty]]</f>
        <v>0.84596086302057205</v>
      </c>
      <c r="L334">
        <f>VLOOKUP(Table1[[#This Row],[Supplier ID]],Suppliers!$A$2:$D$6,4,FALSE)</f>
        <v>5</v>
      </c>
      <c r="M334">
        <f>Table1[[#This Row],[Actual Delivery]]-Table1[[#This Row],[Order Date]]-Table1[[#This Row],[std Lead time]]</f>
        <v>6</v>
      </c>
      <c r="N334">
        <f>IF(AND(Table1[[#This Row],[Status]] = "Delivered", Table1[[#This Row],[Actual Delivery]] &lt;= Table1[[#This Row],[Promised Delivery]],Table1[[#This Row],[FillRate]]&gt;=0.95),1,0)</f>
        <v>0</v>
      </c>
      <c r="O334" t="str">
        <f>VLOOKUP(B334,Products!$A$2:$D$9,3,FALSE)</f>
        <v>Packaging</v>
      </c>
    </row>
    <row r="335" spans="1:15" x14ac:dyDescent="0.25">
      <c r="A335" s="15" t="s">
        <v>361</v>
      </c>
      <c r="B335" s="5" t="s">
        <v>20</v>
      </c>
      <c r="C335" s="5" t="s">
        <v>57</v>
      </c>
      <c r="D335" s="5" t="s">
        <v>23</v>
      </c>
      <c r="E335" s="6">
        <v>45586</v>
      </c>
      <c r="F335" s="21">
        <v>45607</v>
      </c>
      <c r="G335" s="21">
        <v>45606</v>
      </c>
      <c r="H335" s="5">
        <v>1506</v>
      </c>
      <c r="I335" s="5">
        <v>1444</v>
      </c>
      <c r="J335" s="4" t="s">
        <v>14</v>
      </c>
      <c r="K335">
        <f>Table1[[#This Row],[Delivered Qty]]/Table1[[#This Row],[Ordered Qty]]</f>
        <v>0.95883134130146086</v>
      </c>
      <c r="L335">
        <f>VLOOKUP(Table1[[#This Row],[Supplier ID]],Suppliers!$A$2:$D$6,4,FALSE)</f>
        <v>21</v>
      </c>
      <c r="M335">
        <f>Table1[[#This Row],[Actual Delivery]]-Table1[[#This Row],[Order Date]]-Table1[[#This Row],[std Lead time]]</f>
        <v>-1</v>
      </c>
      <c r="N335">
        <f>IF(AND(Table1[[#This Row],[Status]] = "Delivered", Table1[[#This Row],[Actual Delivery]] &lt;= Table1[[#This Row],[Promised Delivery]],Table1[[#This Row],[FillRate]]&gt;=0.95),1,0)</f>
        <v>1</v>
      </c>
      <c r="O335" t="str">
        <f>VLOOKUP(B335,Products!$A$2:$D$9,3,FALSE)</f>
        <v>Raw Material</v>
      </c>
    </row>
    <row r="336" spans="1:15" x14ac:dyDescent="0.25">
      <c r="A336" s="14" t="s">
        <v>362</v>
      </c>
      <c r="B336" s="2" t="s">
        <v>11</v>
      </c>
      <c r="C336" s="2" t="s">
        <v>12</v>
      </c>
      <c r="D336" s="2" t="s">
        <v>23</v>
      </c>
      <c r="E336" s="3">
        <v>45570</v>
      </c>
      <c r="F336" s="20">
        <v>45588</v>
      </c>
      <c r="G336" s="20">
        <v>45587</v>
      </c>
      <c r="H336" s="2">
        <v>1777</v>
      </c>
      <c r="I336" s="2">
        <v>1414</v>
      </c>
      <c r="J336" s="4" t="s">
        <v>14</v>
      </c>
      <c r="K336">
        <f>Table1[[#This Row],[Delivered Qty]]/Table1[[#This Row],[Ordered Qty]]</f>
        <v>0.79572312886888008</v>
      </c>
      <c r="L336">
        <f>VLOOKUP(Table1[[#This Row],[Supplier ID]],Suppliers!$A$2:$D$6,4,FALSE)</f>
        <v>18</v>
      </c>
      <c r="M336">
        <f>Table1[[#This Row],[Actual Delivery]]-Table1[[#This Row],[Order Date]]-Table1[[#This Row],[std Lead time]]</f>
        <v>-1</v>
      </c>
      <c r="N336">
        <f>IF(AND(Table1[[#This Row],[Status]] = "Delivered", Table1[[#This Row],[Actual Delivery]] &lt;= Table1[[#This Row],[Promised Delivery]],Table1[[#This Row],[FillRate]]&gt;=0.95),1,0)</f>
        <v>0</v>
      </c>
      <c r="O336" t="str">
        <f>VLOOKUP(B336,Products!$A$2:$D$9,3,FALSE)</f>
        <v>Packaging</v>
      </c>
    </row>
    <row r="337" spans="1:15" x14ac:dyDescent="0.25">
      <c r="A337" s="15" t="s">
        <v>363</v>
      </c>
      <c r="B337" s="5" t="s">
        <v>16</v>
      </c>
      <c r="C337" s="5" t="s">
        <v>26</v>
      </c>
      <c r="D337" s="5" t="s">
        <v>23</v>
      </c>
      <c r="E337" s="6">
        <v>45572</v>
      </c>
      <c r="F337" s="21">
        <v>45579</v>
      </c>
      <c r="G337" s="21">
        <v>45583</v>
      </c>
      <c r="H337" s="5">
        <v>1237</v>
      </c>
      <c r="I337" s="5">
        <v>1042</v>
      </c>
      <c r="J337" s="4" t="s">
        <v>14</v>
      </c>
      <c r="K337">
        <f>Table1[[#This Row],[Delivered Qty]]/Table1[[#This Row],[Ordered Qty]]</f>
        <v>0.84236054971705743</v>
      </c>
      <c r="L337">
        <f>VLOOKUP(Table1[[#This Row],[Supplier ID]],Suppliers!$A$2:$D$6,4,FALSE)</f>
        <v>7</v>
      </c>
      <c r="M337">
        <f>Table1[[#This Row],[Actual Delivery]]-Table1[[#This Row],[Order Date]]-Table1[[#This Row],[std Lead time]]</f>
        <v>4</v>
      </c>
      <c r="N337">
        <f>IF(AND(Table1[[#This Row],[Status]] = "Delivered", Table1[[#This Row],[Actual Delivery]] &lt;= Table1[[#This Row],[Promised Delivery]],Table1[[#This Row],[FillRate]]&gt;=0.95),1,0)</f>
        <v>0</v>
      </c>
      <c r="O337" t="str">
        <f>VLOOKUP(B337,Products!$A$2:$D$9,3,FALSE)</f>
        <v>Packaging</v>
      </c>
    </row>
    <row r="338" spans="1:15" x14ac:dyDescent="0.25">
      <c r="A338" s="14" t="s">
        <v>364</v>
      </c>
      <c r="B338" s="2" t="s">
        <v>22</v>
      </c>
      <c r="C338" s="2" t="s">
        <v>57</v>
      </c>
      <c r="D338" s="2" t="s">
        <v>18</v>
      </c>
      <c r="E338" s="3">
        <v>45568</v>
      </c>
      <c r="F338" s="20">
        <v>45589</v>
      </c>
      <c r="G338" s="20">
        <v>45587</v>
      </c>
      <c r="H338" s="2">
        <v>1854</v>
      </c>
      <c r="I338" s="2">
        <v>1697</v>
      </c>
      <c r="J338" s="4" t="s">
        <v>14</v>
      </c>
      <c r="K338">
        <f>Table1[[#This Row],[Delivered Qty]]/Table1[[#This Row],[Ordered Qty]]</f>
        <v>0.91531823085221142</v>
      </c>
      <c r="L338">
        <f>VLOOKUP(Table1[[#This Row],[Supplier ID]],Suppliers!$A$2:$D$6,4,FALSE)</f>
        <v>21</v>
      </c>
      <c r="M338">
        <f>Table1[[#This Row],[Actual Delivery]]-Table1[[#This Row],[Order Date]]-Table1[[#This Row],[std Lead time]]</f>
        <v>-2</v>
      </c>
      <c r="N338">
        <f>IF(AND(Table1[[#This Row],[Status]] = "Delivered", Table1[[#This Row],[Actual Delivery]] &lt;= Table1[[#This Row],[Promised Delivery]],Table1[[#This Row],[FillRate]]&gt;=0.95),1,0)</f>
        <v>0</v>
      </c>
      <c r="O338" t="str">
        <f>VLOOKUP(B338,Products!$A$2:$D$9,3,FALSE)</f>
        <v>Finished Goods</v>
      </c>
    </row>
    <row r="339" spans="1:15" x14ac:dyDescent="0.25">
      <c r="A339" s="15" t="s">
        <v>365</v>
      </c>
      <c r="B339" s="5" t="s">
        <v>30</v>
      </c>
      <c r="C339" s="5" t="s">
        <v>57</v>
      </c>
      <c r="D339" s="5" t="s">
        <v>28</v>
      </c>
      <c r="E339" s="6">
        <v>45575</v>
      </c>
      <c r="F339" s="21">
        <v>45596</v>
      </c>
      <c r="G339" s="21">
        <v>45595</v>
      </c>
      <c r="H339" s="5">
        <v>437</v>
      </c>
      <c r="I339" s="5">
        <v>413</v>
      </c>
      <c r="J339" s="4" t="s">
        <v>14</v>
      </c>
      <c r="K339">
        <f>Table1[[#This Row],[Delivered Qty]]/Table1[[#This Row],[Ordered Qty]]</f>
        <v>0.94508009153318073</v>
      </c>
      <c r="L339">
        <f>VLOOKUP(Table1[[#This Row],[Supplier ID]],Suppliers!$A$2:$D$6,4,FALSE)</f>
        <v>21</v>
      </c>
      <c r="M339">
        <f>Table1[[#This Row],[Actual Delivery]]-Table1[[#This Row],[Order Date]]-Table1[[#This Row],[std Lead time]]</f>
        <v>-1</v>
      </c>
      <c r="N339">
        <f>IF(AND(Table1[[#This Row],[Status]] = "Delivered", Table1[[#This Row],[Actual Delivery]] &lt;= Table1[[#This Row],[Promised Delivery]],Table1[[#This Row],[FillRate]]&gt;=0.95),1,0)</f>
        <v>0</v>
      </c>
      <c r="O339" t="str">
        <f>VLOOKUP(B339,Products!$A$2:$D$9,3,FALSE)</f>
        <v>Finished Goods</v>
      </c>
    </row>
    <row r="340" spans="1:15" x14ac:dyDescent="0.25">
      <c r="A340" s="14" t="s">
        <v>366</v>
      </c>
      <c r="B340" s="2" t="s">
        <v>11</v>
      </c>
      <c r="C340" s="2" t="s">
        <v>12</v>
      </c>
      <c r="D340" s="2" t="s">
        <v>13</v>
      </c>
      <c r="E340" s="3">
        <v>45569</v>
      </c>
      <c r="F340" s="20">
        <v>45587</v>
      </c>
      <c r="G340" s="20">
        <v>45586</v>
      </c>
      <c r="H340" s="2">
        <v>1271</v>
      </c>
      <c r="I340" s="2">
        <v>1136</v>
      </c>
      <c r="J340" s="4" t="s">
        <v>14</v>
      </c>
      <c r="K340">
        <f>Table1[[#This Row],[Delivered Qty]]/Table1[[#This Row],[Ordered Qty]]</f>
        <v>0.89378442171518491</v>
      </c>
      <c r="L340">
        <f>VLOOKUP(Table1[[#This Row],[Supplier ID]],Suppliers!$A$2:$D$6,4,FALSE)</f>
        <v>18</v>
      </c>
      <c r="M340">
        <f>Table1[[#This Row],[Actual Delivery]]-Table1[[#This Row],[Order Date]]-Table1[[#This Row],[std Lead time]]</f>
        <v>-1</v>
      </c>
      <c r="N340">
        <f>IF(AND(Table1[[#This Row],[Status]] = "Delivered", Table1[[#This Row],[Actual Delivery]] &lt;= Table1[[#This Row],[Promised Delivery]],Table1[[#This Row],[FillRate]]&gt;=0.95),1,0)</f>
        <v>0</v>
      </c>
      <c r="O340" t="str">
        <f>VLOOKUP(B340,Products!$A$2:$D$9,3,FALSE)</f>
        <v>Packaging</v>
      </c>
    </row>
    <row r="341" spans="1:15" x14ac:dyDescent="0.25">
      <c r="A341" s="15" t="s">
        <v>367</v>
      </c>
      <c r="B341" s="5" t="s">
        <v>37</v>
      </c>
      <c r="C341" s="5" t="s">
        <v>31</v>
      </c>
      <c r="D341" s="5" t="s">
        <v>23</v>
      </c>
      <c r="E341" s="6">
        <v>45570</v>
      </c>
      <c r="F341" s="21">
        <v>45575</v>
      </c>
      <c r="G341" s="21">
        <v>45576</v>
      </c>
      <c r="H341" s="5">
        <v>1779</v>
      </c>
      <c r="I341" s="5">
        <v>1761</v>
      </c>
      <c r="J341" s="4" t="s">
        <v>14</v>
      </c>
      <c r="K341">
        <f>Table1[[#This Row],[Delivered Qty]]/Table1[[#This Row],[Ordered Qty]]</f>
        <v>0.98988195615514329</v>
      </c>
      <c r="L341">
        <f>VLOOKUP(Table1[[#This Row],[Supplier ID]],Suppliers!$A$2:$D$6,4,FALSE)</f>
        <v>5</v>
      </c>
      <c r="M341">
        <f>Table1[[#This Row],[Actual Delivery]]-Table1[[#This Row],[Order Date]]-Table1[[#This Row],[std Lead time]]</f>
        <v>1</v>
      </c>
      <c r="N341">
        <f>IF(AND(Table1[[#This Row],[Status]] = "Delivered", Table1[[#This Row],[Actual Delivery]] &lt;= Table1[[#This Row],[Promised Delivery]],Table1[[#This Row],[FillRate]]&gt;=0.95),1,0)</f>
        <v>0</v>
      </c>
      <c r="O341" t="str">
        <f>VLOOKUP(B341,Products!$A$2:$D$9,3,FALSE)</f>
        <v>Raw Material</v>
      </c>
    </row>
    <row r="342" spans="1:15" x14ac:dyDescent="0.25">
      <c r="A342" s="14" t="s">
        <v>368</v>
      </c>
      <c r="B342" s="2" t="s">
        <v>30</v>
      </c>
      <c r="C342" s="2" t="s">
        <v>57</v>
      </c>
      <c r="D342" s="2" t="s">
        <v>23</v>
      </c>
      <c r="E342" s="3">
        <v>45582</v>
      </c>
      <c r="F342" s="20">
        <v>45603</v>
      </c>
      <c r="G342" s="20">
        <v>45601</v>
      </c>
      <c r="H342" s="2">
        <v>1216</v>
      </c>
      <c r="I342" s="2">
        <v>1149</v>
      </c>
      <c r="J342" s="4" t="s">
        <v>14</v>
      </c>
      <c r="K342">
        <f>Table1[[#This Row],[Delivered Qty]]/Table1[[#This Row],[Ordered Qty]]</f>
        <v>0.94490131578947367</v>
      </c>
      <c r="L342">
        <f>VLOOKUP(Table1[[#This Row],[Supplier ID]],Suppliers!$A$2:$D$6,4,FALSE)</f>
        <v>21</v>
      </c>
      <c r="M342">
        <f>Table1[[#This Row],[Actual Delivery]]-Table1[[#This Row],[Order Date]]-Table1[[#This Row],[std Lead time]]</f>
        <v>-2</v>
      </c>
      <c r="N342">
        <f>IF(AND(Table1[[#This Row],[Status]] = "Delivered", Table1[[#This Row],[Actual Delivery]] &lt;= Table1[[#This Row],[Promised Delivery]],Table1[[#This Row],[FillRate]]&gt;=0.95),1,0)</f>
        <v>0</v>
      </c>
      <c r="O342" t="str">
        <f>VLOOKUP(B342,Products!$A$2:$D$9,3,FALSE)</f>
        <v>Finished Goods</v>
      </c>
    </row>
    <row r="343" spans="1:15" x14ac:dyDescent="0.25">
      <c r="A343" s="15" t="s">
        <v>369</v>
      </c>
      <c r="B343" s="5" t="s">
        <v>30</v>
      </c>
      <c r="C343" s="5" t="s">
        <v>26</v>
      </c>
      <c r="D343" s="5" t="s">
        <v>18</v>
      </c>
      <c r="E343" s="6">
        <v>45593</v>
      </c>
      <c r="F343" s="21">
        <v>45600</v>
      </c>
      <c r="G343" s="21">
        <v>45599</v>
      </c>
      <c r="H343" s="5">
        <v>1783</v>
      </c>
      <c r="I343" s="5">
        <v>1623</v>
      </c>
      <c r="J343" s="4" t="s">
        <v>14</v>
      </c>
      <c r="K343">
        <f>Table1[[#This Row],[Delivered Qty]]/Table1[[#This Row],[Ordered Qty]]</f>
        <v>0.91026360067302303</v>
      </c>
      <c r="L343">
        <f>VLOOKUP(Table1[[#This Row],[Supplier ID]],Suppliers!$A$2:$D$6,4,FALSE)</f>
        <v>7</v>
      </c>
      <c r="M343">
        <f>Table1[[#This Row],[Actual Delivery]]-Table1[[#This Row],[Order Date]]-Table1[[#This Row],[std Lead time]]</f>
        <v>-1</v>
      </c>
      <c r="N343">
        <f>IF(AND(Table1[[#This Row],[Status]] = "Delivered", Table1[[#This Row],[Actual Delivery]] &lt;= Table1[[#This Row],[Promised Delivery]],Table1[[#This Row],[FillRate]]&gt;=0.95),1,0)</f>
        <v>0</v>
      </c>
      <c r="O343" t="str">
        <f>VLOOKUP(B343,Products!$A$2:$D$9,3,FALSE)</f>
        <v>Finished Goods</v>
      </c>
    </row>
    <row r="344" spans="1:15" x14ac:dyDescent="0.25">
      <c r="A344" s="14" t="s">
        <v>370</v>
      </c>
      <c r="B344" s="2" t="s">
        <v>16</v>
      </c>
      <c r="C344" s="2" t="s">
        <v>31</v>
      </c>
      <c r="D344" s="2" t="s">
        <v>28</v>
      </c>
      <c r="E344" s="3">
        <v>45567</v>
      </c>
      <c r="F344" s="20">
        <v>45572</v>
      </c>
      <c r="G344" s="20">
        <v>45571</v>
      </c>
      <c r="H344" s="2">
        <v>945</v>
      </c>
      <c r="I344" s="2">
        <v>816</v>
      </c>
      <c r="J344" s="4" t="s">
        <v>14</v>
      </c>
      <c r="K344">
        <f>Table1[[#This Row],[Delivered Qty]]/Table1[[#This Row],[Ordered Qty]]</f>
        <v>0.86349206349206353</v>
      </c>
      <c r="L344">
        <f>VLOOKUP(Table1[[#This Row],[Supplier ID]],Suppliers!$A$2:$D$6,4,FALSE)</f>
        <v>5</v>
      </c>
      <c r="M344">
        <f>Table1[[#This Row],[Actual Delivery]]-Table1[[#This Row],[Order Date]]-Table1[[#This Row],[std Lead time]]</f>
        <v>-1</v>
      </c>
      <c r="N344">
        <f>IF(AND(Table1[[#This Row],[Status]] = "Delivered", Table1[[#This Row],[Actual Delivery]] &lt;= Table1[[#This Row],[Promised Delivery]],Table1[[#This Row],[FillRate]]&gt;=0.95),1,0)</f>
        <v>0</v>
      </c>
      <c r="O344" t="str">
        <f>VLOOKUP(B344,Products!$A$2:$D$9,3,FALSE)</f>
        <v>Packaging</v>
      </c>
    </row>
    <row r="345" spans="1:15" x14ac:dyDescent="0.25">
      <c r="A345" s="15" t="s">
        <v>371</v>
      </c>
      <c r="B345" s="5" t="s">
        <v>33</v>
      </c>
      <c r="C345" s="5" t="s">
        <v>31</v>
      </c>
      <c r="D345" s="5" t="s">
        <v>28</v>
      </c>
      <c r="E345" s="6">
        <v>45583</v>
      </c>
      <c r="F345" s="21">
        <v>45588</v>
      </c>
      <c r="G345" s="21">
        <v>45586</v>
      </c>
      <c r="H345" s="5">
        <v>1052</v>
      </c>
      <c r="I345" s="5">
        <v>1043</v>
      </c>
      <c r="J345" s="4" t="s">
        <v>14</v>
      </c>
      <c r="K345">
        <f>Table1[[#This Row],[Delivered Qty]]/Table1[[#This Row],[Ordered Qty]]</f>
        <v>0.9914448669201521</v>
      </c>
      <c r="L345">
        <f>VLOOKUP(Table1[[#This Row],[Supplier ID]],Suppliers!$A$2:$D$6,4,FALSE)</f>
        <v>5</v>
      </c>
      <c r="M345">
        <f>Table1[[#This Row],[Actual Delivery]]-Table1[[#This Row],[Order Date]]-Table1[[#This Row],[std Lead time]]</f>
        <v>-2</v>
      </c>
      <c r="N345">
        <f>IF(AND(Table1[[#This Row],[Status]] = "Delivered", Table1[[#This Row],[Actual Delivery]] &lt;= Table1[[#This Row],[Promised Delivery]],Table1[[#This Row],[FillRate]]&gt;=0.95),1,0)</f>
        <v>1</v>
      </c>
      <c r="O345" t="str">
        <f>VLOOKUP(B345,Products!$A$2:$D$9,3,FALSE)</f>
        <v>Raw Material</v>
      </c>
    </row>
    <row r="346" spans="1:15" x14ac:dyDescent="0.25">
      <c r="A346" s="14" t="s">
        <v>372</v>
      </c>
      <c r="B346" s="2" t="s">
        <v>30</v>
      </c>
      <c r="C346" s="2" t="s">
        <v>12</v>
      </c>
      <c r="D346" s="2" t="s">
        <v>28</v>
      </c>
      <c r="E346" s="3">
        <v>45584</v>
      </c>
      <c r="F346" s="20">
        <v>45602</v>
      </c>
      <c r="G346" s="20">
        <v>45600</v>
      </c>
      <c r="H346" s="2">
        <v>657</v>
      </c>
      <c r="I346" s="2">
        <v>644</v>
      </c>
      <c r="J346" s="4" t="s">
        <v>14</v>
      </c>
      <c r="K346">
        <f>Table1[[#This Row],[Delivered Qty]]/Table1[[#This Row],[Ordered Qty]]</f>
        <v>0.98021308980213084</v>
      </c>
      <c r="L346">
        <f>VLOOKUP(Table1[[#This Row],[Supplier ID]],Suppliers!$A$2:$D$6,4,FALSE)</f>
        <v>18</v>
      </c>
      <c r="M346">
        <f>Table1[[#This Row],[Actual Delivery]]-Table1[[#This Row],[Order Date]]-Table1[[#This Row],[std Lead time]]</f>
        <v>-2</v>
      </c>
      <c r="N346">
        <f>IF(AND(Table1[[#This Row],[Status]] = "Delivered", Table1[[#This Row],[Actual Delivery]] &lt;= Table1[[#This Row],[Promised Delivery]],Table1[[#This Row],[FillRate]]&gt;=0.95),1,0)</f>
        <v>1</v>
      </c>
      <c r="O346" t="str">
        <f>VLOOKUP(B346,Products!$A$2:$D$9,3,FALSE)</f>
        <v>Finished Goods</v>
      </c>
    </row>
    <row r="347" spans="1:15" x14ac:dyDescent="0.25">
      <c r="A347" s="15" t="s">
        <v>373</v>
      </c>
      <c r="B347" s="5" t="s">
        <v>11</v>
      </c>
      <c r="C347" s="5" t="s">
        <v>57</v>
      </c>
      <c r="D347" s="5" t="s">
        <v>28</v>
      </c>
      <c r="E347" s="6">
        <v>45580</v>
      </c>
      <c r="F347" s="21">
        <v>45601</v>
      </c>
      <c r="G347" s="21">
        <v>45599</v>
      </c>
      <c r="H347" s="5">
        <v>955</v>
      </c>
      <c r="I347" s="5">
        <v>787</v>
      </c>
      <c r="J347" s="4" t="s">
        <v>14</v>
      </c>
      <c r="K347">
        <f>Table1[[#This Row],[Delivered Qty]]/Table1[[#This Row],[Ordered Qty]]</f>
        <v>0.82408376963350782</v>
      </c>
      <c r="L347">
        <f>VLOOKUP(Table1[[#This Row],[Supplier ID]],Suppliers!$A$2:$D$6,4,FALSE)</f>
        <v>21</v>
      </c>
      <c r="M347">
        <f>Table1[[#This Row],[Actual Delivery]]-Table1[[#This Row],[Order Date]]-Table1[[#This Row],[std Lead time]]</f>
        <v>-2</v>
      </c>
      <c r="N347">
        <f>IF(AND(Table1[[#This Row],[Status]] = "Delivered", Table1[[#This Row],[Actual Delivery]] &lt;= Table1[[#This Row],[Promised Delivery]],Table1[[#This Row],[FillRate]]&gt;=0.95),1,0)</f>
        <v>0</v>
      </c>
      <c r="O347" t="str">
        <f>VLOOKUP(B347,Products!$A$2:$D$9,3,FALSE)</f>
        <v>Packaging</v>
      </c>
    </row>
    <row r="348" spans="1:15" x14ac:dyDescent="0.25">
      <c r="A348" s="14" t="s">
        <v>374</v>
      </c>
      <c r="B348" s="2" t="s">
        <v>37</v>
      </c>
      <c r="C348" s="2" t="s">
        <v>17</v>
      </c>
      <c r="D348" s="2" t="s">
        <v>13</v>
      </c>
      <c r="E348" s="3">
        <v>45580</v>
      </c>
      <c r="F348" s="20">
        <v>45586</v>
      </c>
      <c r="G348" s="20">
        <v>45585</v>
      </c>
      <c r="H348" s="2">
        <v>1782</v>
      </c>
      <c r="I348" s="2">
        <v>1742</v>
      </c>
      <c r="J348" s="4" t="s">
        <v>14</v>
      </c>
      <c r="K348">
        <f>Table1[[#This Row],[Delivered Qty]]/Table1[[#This Row],[Ordered Qty]]</f>
        <v>0.97755331088664421</v>
      </c>
      <c r="L348">
        <f>VLOOKUP(Table1[[#This Row],[Supplier ID]],Suppliers!$A$2:$D$6,4,FALSE)</f>
        <v>6</v>
      </c>
      <c r="M348">
        <f>Table1[[#This Row],[Actual Delivery]]-Table1[[#This Row],[Order Date]]-Table1[[#This Row],[std Lead time]]</f>
        <v>-1</v>
      </c>
      <c r="N348">
        <f>IF(AND(Table1[[#This Row],[Status]] = "Delivered", Table1[[#This Row],[Actual Delivery]] &lt;= Table1[[#This Row],[Promised Delivery]],Table1[[#This Row],[FillRate]]&gt;=0.95),1,0)</f>
        <v>1</v>
      </c>
      <c r="O348" t="str">
        <f>VLOOKUP(B348,Products!$A$2:$D$9,3,FALSE)</f>
        <v>Raw Material</v>
      </c>
    </row>
    <row r="349" spans="1:15" x14ac:dyDescent="0.25">
      <c r="A349" s="15" t="s">
        <v>375</v>
      </c>
      <c r="B349" s="5" t="s">
        <v>20</v>
      </c>
      <c r="C349" s="5" t="s">
        <v>31</v>
      </c>
      <c r="D349" s="5" t="s">
        <v>28</v>
      </c>
      <c r="E349" s="6">
        <v>45579</v>
      </c>
      <c r="F349" s="21">
        <v>45584</v>
      </c>
      <c r="G349" s="21">
        <v>45583</v>
      </c>
      <c r="H349" s="5">
        <v>1502</v>
      </c>
      <c r="I349" s="5">
        <v>1477</v>
      </c>
      <c r="J349" s="4" t="s">
        <v>14</v>
      </c>
      <c r="K349">
        <f>Table1[[#This Row],[Delivered Qty]]/Table1[[#This Row],[Ordered Qty]]</f>
        <v>0.98335552596537945</v>
      </c>
      <c r="L349">
        <f>VLOOKUP(Table1[[#This Row],[Supplier ID]],Suppliers!$A$2:$D$6,4,FALSE)</f>
        <v>5</v>
      </c>
      <c r="M349">
        <f>Table1[[#This Row],[Actual Delivery]]-Table1[[#This Row],[Order Date]]-Table1[[#This Row],[std Lead time]]</f>
        <v>-1</v>
      </c>
      <c r="N349">
        <f>IF(AND(Table1[[#This Row],[Status]] = "Delivered", Table1[[#This Row],[Actual Delivery]] &lt;= Table1[[#This Row],[Promised Delivery]],Table1[[#This Row],[FillRate]]&gt;=0.95),1,0)</f>
        <v>1</v>
      </c>
      <c r="O349" t="str">
        <f>VLOOKUP(B349,Products!$A$2:$D$9,3,FALSE)</f>
        <v>Raw Material</v>
      </c>
    </row>
    <row r="350" spans="1:15" x14ac:dyDescent="0.25">
      <c r="A350" s="14" t="s">
        <v>376</v>
      </c>
      <c r="B350" s="2" t="s">
        <v>11</v>
      </c>
      <c r="C350" s="2" t="s">
        <v>12</v>
      </c>
      <c r="D350" s="2" t="s">
        <v>28</v>
      </c>
      <c r="E350" s="3">
        <v>45590</v>
      </c>
      <c r="F350" s="20">
        <v>45608</v>
      </c>
      <c r="G350" s="20">
        <v>45606</v>
      </c>
      <c r="H350" s="2">
        <v>1059</v>
      </c>
      <c r="I350" s="2">
        <v>940</v>
      </c>
      <c r="J350" s="4" t="s">
        <v>14</v>
      </c>
      <c r="K350">
        <f>Table1[[#This Row],[Delivered Qty]]/Table1[[#This Row],[Ordered Qty]]</f>
        <v>0.88762983947119922</v>
      </c>
      <c r="L350">
        <f>VLOOKUP(Table1[[#This Row],[Supplier ID]],Suppliers!$A$2:$D$6,4,FALSE)</f>
        <v>18</v>
      </c>
      <c r="M350">
        <f>Table1[[#This Row],[Actual Delivery]]-Table1[[#This Row],[Order Date]]-Table1[[#This Row],[std Lead time]]</f>
        <v>-2</v>
      </c>
      <c r="N350">
        <f>IF(AND(Table1[[#This Row],[Status]] = "Delivered", Table1[[#This Row],[Actual Delivery]] &lt;= Table1[[#This Row],[Promised Delivery]],Table1[[#This Row],[FillRate]]&gt;=0.95),1,0)</f>
        <v>0</v>
      </c>
      <c r="O350" t="str">
        <f>VLOOKUP(B350,Products!$A$2:$D$9,3,FALSE)</f>
        <v>Packaging</v>
      </c>
    </row>
    <row r="351" spans="1:15" x14ac:dyDescent="0.25">
      <c r="A351" s="15" t="s">
        <v>377</v>
      </c>
      <c r="B351" s="5" t="s">
        <v>11</v>
      </c>
      <c r="C351" s="5" t="s">
        <v>31</v>
      </c>
      <c r="D351" s="5" t="s">
        <v>23</v>
      </c>
      <c r="E351" s="6">
        <v>45568</v>
      </c>
      <c r="F351" s="21">
        <v>45573</v>
      </c>
      <c r="G351" s="21">
        <v>45578</v>
      </c>
      <c r="H351" s="5">
        <v>1045</v>
      </c>
      <c r="I351" s="5">
        <v>976</v>
      </c>
      <c r="J351" s="4" t="s">
        <v>14</v>
      </c>
      <c r="K351">
        <f>Table1[[#This Row],[Delivered Qty]]/Table1[[#This Row],[Ordered Qty]]</f>
        <v>0.93397129186602867</v>
      </c>
      <c r="L351">
        <f>VLOOKUP(Table1[[#This Row],[Supplier ID]],Suppliers!$A$2:$D$6,4,FALSE)</f>
        <v>5</v>
      </c>
      <c r="M351">
        <f>Table1[[#This Row],[Actual Delivery]]-Table1[[#This Row],[Order Date]]-Table1[[#This Row],[std Lead time]]</f>
        <v>5</v>
      </c>
      <c r="N351">
        <f>IF(AND(Table1[[#This Row],[Status]] = "Delivered", Table1[[#This Row],[Actual Delivery]] &lt;= Table1[[#This Row],[Promised Delivery]],Table1[[#This Row],[FillRate]]&gt;=0.95),1,0)</f>
        <v>0</v>
      </c>
      <c r="O351" t="str">
        <f>VLOOKUP(B351,Products!$A$2:$D$9,3,FALSE)</f>
        <v>Packaging</v>
      </c>
    </row>
    <row r="352" spans="1:15" x14ac:dyDescent="0.25">
      <c r="A352" s="14" t="s">
        <v>378</v>
      </c>
      <c r="B352" s="2" t="s">
        <v>30</v>
      </c>
      <c r="C352" s="2" t="s">
        <v>57</v>
      </c>
      <c r="D352" s="2" t="s">
        <v>28</v>
      </c>
      <c r="E352" s="3">
        <v>45584</v>
      </c>
      <c r="F352" s="20">
        <v>45605</v>
      </c>
      <c r="G352" s="20">
        <v>45605</v>
      </c>
      <c r="H352" s="2">
        <v>1362</v>
      </c>
      <c r="I352" s="2">
        <v>1234</v>
      </c>
      <c r="J352" s="4" t="s">
        <v>14</v>
      </c>
      <c r="K352">
        <f>Table1[[#This Row],[Delivered Qty]]/Table1[[#This Row],[Ordered Qty]]</f>
        <v>0.9060205580029369</v>
      </c>
      <c r="L352">
        <f>VLOOKUP(Table1[[#This Row],[Supplier ID]],Suppliers!$A$2:$D$6,4,FALSE)</f>
        <v>21</v>
      </c>
      <c r="M352">
        <f>Table1[[#This Row],[Actual Delivery]]-Table1[[#This Row],[Order Date]]-Table1[[#This Row],[std Lead time]]</f>
        <v>0</v>
      </c>
      <c r="N352">
        <f>IF(AND(Table1[[#This Row],[Status]] = "Delivered", Table1[[#This Row],[Actual Delivery]] &lt;= Table1[[#This Row],[Promised Delivery]],Table1[[#This Row],[FillRate]]&gt;=0.95),1,0)</f>
        <v>0</v>
      </c>
      <c r="O352" t="str">
        <f>VLOOKUP(B352,Products!$A$2:$D$9,3,FALSE)</f>
        <v>Finished Goods</v>
      </c>
    </row>
    <row r="353" spans="1:15" x14ac:dyDescent="0.25">
      <c r="A353" s="15" t="s">
        <v>379</v>
      </c>
      <c r="B353" s="5" t="s">
        <v>33</v>
      </c>
      <c r="C353" s="5" t="s">
        <v>31</v>
      </c>
      <c r="D353" s="5" t="s">
        <v>23</v>
      </c>
      <c r="E353" s="6">
        <v>45574</v>
      </c>
      <c r="F353" s="21">
        <v>45579</v>
      </c>
      <c r="G353" s="21">
        <v>45583</v>
      </c>
      <c r="H353" s="5">
        <v>1635</v>
      </c>
      <c r="I353" s="5">
        <v>1607</v>
      </c>
      <c r="J353" s="4" t="s">
        <v>14</v>
      </c>
      <c r="K353">
        <f>Table1[[#This Row],[Delivered Qty]]/Table1[[#This Row],[Ordered Qty]]</f>
        <v>0.98287461773700302</v>
      </c>
      <c r="L353">
        <f>VLOOKUP(Table1[[#This Row],[Supplier ID]],Suppliers!$A$2:$D$6,4,FALSE)</f>
        <v>5</v>
      </c>
      <c r="M353">
        <f>Table1[[#This Row],[Actual Delivery]]-Table1[[#This Row],[Order Date]]-Table1[[#This Row],[std Lead time]]</f>
        <v>4</v>
      </c>
      <c r="N353">
        <f>IF(AND(Table1[[#This Row],[Status]] = "Delivered", Table1[[#This Row],[Actual Delivery]] &lt;= Table1[[#This Row],[Promised Delivery]],Table1[[#This Row],[FillRate]]&gt;=0.95),1,0)</f>
        <v>0</v>
      </c>
      <c r="O353" t="str">
        <f>VLOOKUP(B353,Products!$A$2:$D$9,3,FALSE)</f>
        <v>Raw Material</v>
      </c>
    </row>
    <row r="354" spans="1:15" x14ac:dyDescent="0.25">
      <c r="A354" s="14" t="s">
        <v>380</v>
      </c>
      <c r="B354" s="2" t="s">
        <v>30</v>
      </c>
      <c r="C354" s="2" t="s">
        <v>12</v>
      </c>
      <c r="D354" s="2" t="s">
        <v>18</v>
      </c>
      <c r="E354" s="3">
        <v>45574</v>
      </c>
      <c r="F354" s="20">
        <v>45592</v>
      </c>
      <c r="G354" s="20">
        <v>45592</v>
      </c>
      <c r="H354" s="2">
        <v>423</v>
      </c>
      <c r="I354" s="2">
        <v>387</v>
      </c>
      <c r="J354" s="4" t="s">
        <v>14</v>
      </c>
      <c r="K354">
        <f>Table1[[#This Row],[Delivered Qty]]/Table1[[#This Row],[Ordered Qty]]</f>
        <v>0.91489361702127658</v>
      </c>
      <c r="L354">
        <f>VLOOKUP(Table1[[#This Row],[Supplier ID]],Suppliers!$A$2:$D$6,4,FALSE)</f>
        <v>18</v>
      </c>
      <c r="M354">
        <f>Table1[[#This Row],[Actual Delivery]]-Table1[[#This Row],[Order Date]]-Table1[[#This Row],[std Lead time]]</f>
        <v>0</v>
      </c>
      <c r="N354">
        <f>IF(AND(Table1[[#This Row],[Status]] = "Delivered", Table1[[#This Row],[Actual Delivery]] &lt;= Table1[[#This Row],[Promised Delivery]],Table1[[#This Row],[FillRate]]&gt;=0.95),1,0)</f>
        <v>0</v>
      </c>
      <c r="O354" t="str">
        <f>VLOOKUP(B354,Products!$A$2:$D$9,3,FALSE)</f>
        <v>Finished Goods</v>
      </c>
    </row>
    <row r="355" spans="1:15" x14ac:dyDescent="0.25">
      <c r="A355" s="15" t="s">
        <v>381</v>
      </c>
      <c r="B355" s="5" t="s">
        <v>33</v>
      </c>
      <c r="C355" s="5" t="s">
        <v>57</v>
      </c>
      <c r="D355" s="5" t="s">
        <v>18</v>
      </c>
      <c r="E355" s="6">
        <v>45576</v>
      </c>
      <c r="F355" s="21">
        <v>45597</v>
      </c>
      <c r="G355" s="21">
        <v>45595</v>
      </c>
      <c r="H355" s="5">
        <v>1125</v>
      </c>
      <c r="I355" s="5">
        <v>1047</v>
      </c>
      <c r="J355" s="4" t="s">
        <v>14</v>
      </c>
      <c r="K355">
        <f>Table1[[#This Row],[Delivered Qty]]/Table1[[#This Row],[Ordered Qty]]</f>
        <v>0.93066666666666664</v>
      </c>
      <c r="L355">
        <f>VLOOKUP(Table1[[#This Row],[Supplier ID]],Suppliers!$A$2:$D$6,4,FALSE)</f>
        <v>21</v>
      </c>
      <c r="M355">
        <f>Table1[[#This Row],[Actual Delivery]]-Table1[[#This Row],[Order Date]]-Table1[[#This Row],[std Lead time]]</f>
        <v>-2</v>
      </c>
      <c r="N355">
        <f>IF(AND(Table1[[#This Row],[Status]] = "Delivered", Table1[[#This Row],[Actual Delivery]] &lt;= Table1[[#This Row],[Promised Delivery]],Table1[[#This Row],[FillRate]]&gt;=0.95),1,0)</f>
        <v>0</v>
      </c>
      <c r="O355" t="str">
        <f>VLOOKUP(B355,Products!$A$2:$D$9,3,FALSE)</f>
        <v>Raw Material</v>
      </c>
    </row>
    <row r="356" spans="1:15" x14ac:dyDescent="0.25">
      <c r="A356" s="14" t="s">
        <v>382</v>
      </c>
      <c r="B356" s="2" t="s">
        <v>37</v>
      </c>
      <c r="C356" s="2" t="s">
        <v>26</v>
      </c>
      <c r="D356" s="2" t="s">
        <v>28</v>
      </c>
      <c r="E356" s="3">
        <v>45571</v>
      </c>
      <c r="F356" s="20">
        <v>45578</v>
      </c>
      <c r="G356" s="20">
        <v>45584</v>
      </c>
      <c r="H356" s="2">
        <v>1435</v>
      </c>
      <c r="I356" s="2">
        <v>1297</v>
      </c>
      <c r="J356" s="4" t="s">
        <v>14</v>
      </c>
      <c r="K356">
        <f>Table1[[#This Row],[Delivered Qty]]/Table1[[#This Row],[Ordered Qty]]</f>
        <v>0.90383275261324036</v>
      </c>
      <c r="L356">
        <f>VLOOKUP(Table1[[#This Row],[Supplier ID]],Suppliers!$A$2:$D$6,4,FALSE)</f>
        <v>7</v>
      </c>
      <c r="M356">
        <f>Table1[[#This Row],[Actual Delivery]]-Table1[[#This Row],[Order Date]]-Table1[[#This Row],[std Lead time]]</f>
        <v>6</v>
      </c>
      <c r="N356">
        <f>IF(AND(Table1[[#This Row],[Status]] = "Delivered", Table1[[#This Row],[Actual Delivery]] &lt;= Table1[[#This Row],[Promised Delivery]],Table1[[#This Row],[FillRate]]&gt;=0.95),1,0)</f>
        <v>0</v>
      </c>
      <c r="O356" t="str">
        <f>VLOOKUP(B356,Products!$A$2:$D$9,3,FALSE)</f>
        <v>Raw Material</v>
      </c>
    </row>
    <row r="357" spans="1:15" x14ac:dyDescent="0.25">
      <c r="A357" s="15" t="s">
        <v>383</v>
      </c>
      <c r="B357" s="5" t="s">
        <v>30</v>
      </c>
      <c r="C357" s="5" t="s">
        <v>31</v>
      </c>
      <c r="D357" s="5" t="s">
        <v>28</v>
      </c>
      <c r="E357" s="6">
        <v>45588</v>
      </c>
      <c r="F357" s="21">
        <v>45593</v>
      </c>
      <c r="G357" s="21">
        <v>45606</v>
      </c>
      <c r="H357" s="5">
        <v>1251</v>
      </c>
      <c r="I357" s="5">
        <v>1132</v>
      </c>
      <c r="J357" s="4" t="s">
        <v>14</v>
      </c>
      <c r="K357">
        <f>Table1[[#This Row],[Delivered Qty]]/Table1[[#This Row],[Ordered Qty]]</f>
        <v>0.90487609912070344</v>
      </c>
      <c r="L357">
        <f>VLOOKUP(Table1[[#This Row],[Supplier ID]],Suppliers!$A$2:$D$6,4,FALSE)</f>
        <v>5</v>
      </c>
      <c r="M357">
        <f>Table1[[#This Row],[Actual Delivery]]-Table1[[#This Row],[Order Date]]-Table1[[#This Row],[std Lead time]]</f>
        <v>13</v>
      </c>
      <c r="N357">
        <f>IF(AND(Table1[[#This Row],[Status]] = "Delivered", Table1[[#This Row],[Actual Delivery]] &lt;= Table1[[#This Row],[Promised Delivery]],Table1[[#This Row],[FillRate]]&gt;=0.95),1,0)</f>
        <v>0</v>
      </c>
      <c r="O357" t="str">
        <f>VLOOKUP(B357,Products!$A$2:$D$9,3,FALSE)</f>
        <v>Finished Goods</v>
      </c>
    </row>
    <row r="358" spans="1:15" x14ac:dyDescent="0.25">
      <c r="A358" s="14" t="s">
        <v>384</v>
      </c>
      <c r="B358" s="2" t="s">
        <v>37</v>
      </c>
      <c r="C358" s="2" t="s">
        <v>12</v>
      </c>
      <c r="D358" s="2" t="s">
        <v>13</v>
      </c>
      <c r="E358" s="3">
        <v>45566</v>
      </c>
      <c r="F358" s="20">
        <v>45584</v>
      </c>
      <c r="G358" s="20">
        <v>45582</v>
      </c>
      <c r="H358" s="2">
        <v>1146</v>
      </c>
      <c r="I358" s="2">
        <v>1043</v>
      </c>
      <c r="J358" s="4" t="s">
        <v>14</v>
      </c>
      <c r="K358">
        <f>Table1[[#This Row],[Delivered Qty]]/Table1[[#This Row],[Ordered Qty]]</f>
        <v>0.91012216404886559</v>
      </c>
      <c r="L358">
        <f>VLOOKUP(Table1[[#This Row],[Supplier ID]],Suppliers!$A$2:$D$6,4,FALSE)</f>
        <v>18</v>
      </c>
      <c r="M358">
        <f>Table1[[#This Row],[Actual Delivery]]-Table1[[#This Row],[Order Date]]-Table1[[#This Row],[std Lead time]]</f>
        <v>-2</v>
      </c>
      <c r="N358">
        <f>IF(AND(Table1[[#This Row],[Status]] = "Delivered", Table1[[#This Row],[Actual Delivery]] &lt;= Table1[[#This Row],[Promised Delivery]],Table1[[#This Row],[FillRate]]&gt;=0.95),1,0)</f>
        <v>0</v>
      </c>
      <c r="O358" t="str">
        <f>VLOOKUP(B358,Products!$A$2:$D$9,3,FALSE)</f>
        <v>Raw Material</v>
      </c>
    </row>
    <row r="359" spans="1:15" x14ac:dyDescent="0.25">
      <c r="A359" s="15" t="s">
        <v>385</v>
      </c>
      <c r="B359" s="5" t="s">
        <v>33</v>
      </c>
      <c r="C359" s="5" t="s">
        <v>26</v>
      </c>
      <c r="D359" s="5" t="s">
        <v>28</v>
      </c>
      <c r="E359" s="6">
        <v>45567</v>
      </c>
      <c r="F359" s="21">
        <v>45574</v>
      </c>
      <c r="G359" s="21">
        <v>45573</v>
      </c>
      <c r="H359" s="5">
        <v>962</v>
      </c>
      <c r="I359" s="5">
        <v>931</v>
      </c>
      <c r="J359" s="4" t="s">
        <v>14</v>
      </c>
      <c r="K359">
        <f>Table1[[#This Row],[Delivered Qty]]/Table1[[#This Row],[Ordered Qty]]</f>
        <v>0.96777546777546775</v>
      </c>
      <c r="L359">
        <f>VLOOKUP(Table1[[#This Row],[Supplier ID]],Suppliers!$A$2:$D$6,4,FALSE)</f>
        <v>7</v>
      </c>
      <c r="M359">
        <f>Table1[[#This Row],[Actual Delivery]]-Table1[[#This Row],[Order Date]]-Table1[[#This Row],[std Lead time]]</f>
        <v>-1</v>
      </c>
      <c r="N359">
        <f>IF(AND(Table1[[#This Row],[Status]] = "Delivered", Table1[[#This Row],[Actual Delivery]] &lt;= Table1[[#This Row],[Promised Delivery]],Table1[[#This Row],[FillRate]]&gt;=0.95),1,0)</f>
        <v>1</v>
      </c>
      <c r="O359" t="str">
        <f>VLOOKUP(B359,Products!$A$2:$D$9,3,FALSE)</f>
        <v>Raw Material</v>
      </c>
    </row>
    <row r="360" spans="1:15" x14ac:dyDescent="0.25">
      <c r="A360" s="14" t="s">
        <v>386</v>
      </c>
      <c r="B360" s="2" t="s">
        <v>16</v>
      </c>
      <c r="C360" s="2" t="s">
        <v>17</v>
      </c>
      <c r="D360" s="2" t="s">
        <v>23</v>
      </c>
      <c r="E360" s="3">
        <v>45592</v>
      </c>
      <c r="F360" s="20">
        <v>45598</v>
      </c>
      <c r="G360" s="20">
        <v>45596</v>
      </c>
      <c r="H360" s="2">
        <v>604</v>
      </c>
      <c r="I360" s="2">
        <v>591</v>
      </c>
      <c r="J360" s="4" t="s">
        <v>14</v>
      </c>
      <c r="K360">
        <f>Table1[[#This Row],[Delivered Qty]]/Table1[[#This Row],[Ordered Qty]]</f>
        <v>0.97847682119205293</v>
      </c>
      <c r="L360">
        <f>VLOOKUP(Table1[[#This Row],[Supplier ID]],Suppliers!$A$2:$D$6,4,FALSE)</f>
        <v>6</v>
      </c>
      <c r="M360">
        <f>Table1[[#This Row],[Actual Delivery]]-Table1[[#This Row],[Order Date]]-Table1[[#This Row],[std Lead time]]</f>
        <v>-2</v>
      </c>
      <c r="N360">
        <f>IF(AND(Table1[[#This Row],[Status]] = "Delivered", Table1[[#This Row],[Actual Delivery]] &lt;= Table1[[#This Row],[Promised Delivery]],Table1[[#This Row],[FillRate]]&gt;=0.95),1,0)</f>
        <v>1</v>
      </c>
      <c r="O360" t="str">
        <f>VLOOKUP(B360,Products!$A$2:$D$9,3,FALSE)</f>
        <v>Packaging</v>
      </c>
    </row>
    <row r="361" spans="1:15" x14ac:dyDescent="0.25">
      <c r="A361" s="15" t="s">
        <v>387</v>
      </c>
      <c r="B361" s="5" t="s">
        <v>44</v>
      </c>
      <c r="C361" s="5" t="s">
        <v>31</v>
      </c>
      <c r="D361" s="5" t="s">
        <v>28</v>
      </c>
      <c r="E361" s="6">
        <v>45593</v>
      </c>
      <c r="F361" s="21">
        <v>45598</v>
      </c>
      <c r="G361" s="21">
        <v>45597</v>
      </c>
      <c r="H361" s="5">
        <v>303</v>
      </c>
      <c r="I361" s="5">
        <v>277</v>
      </c>
      <c r="J361" s="4" t="s">
        <v>14</v>
      </c>
      <c r="K361">
        <f>Table1[[#This Row],[Delivered Qty]]/Table1[[#This Row],[Ordered Qty]]</f>
        <v>0.91419141914191415</v>
      </c>
      <c r="L361">
        <f>VLOOKUP(Table1[[#This Row],[Supplier ID]],Suppliers!$A$2:$D$6,4,FALSE)</f>
        <v>5</v>
      </c>
      <c r="M361">
        <f>Table1[[#This Row],[Actual Delivery]]-Table1[[#This Row],[Order Date]]-Table1[[#This Row],[std Lead time]]</f>
        <v>-1</v>
      </c>
      <c r="N361">
        <f>IF(AND(Table1[[#This Row],[Status]] = "Delivered", Table1[[#This Row],[Actual Delivery]] &lt;= Table1[[#This Row],[Promised Delivery]],Table1[[#This Row],[FillRate]]&gt;=0.95),1,0)</f>
        <v>0</v>
      </c>
      <c r="O361" t="str">
        <f>VLOOKUP(B361,Products!$A$2:$D$9,3,FALSE)</f>
        <v>Finished Goods</v>
      </c>
    </row>
    <row r="362" spans="1:15" x14ac:dyDescent="0.25">
      <c r="A362" s="14" t="s">
        <v>388</v>
      </c>
      <c r="B362" s="2" t="s">
        <v>22</v>
      </c>
      <c r="C362" s="2" t="s">
        <v>57</v>
      </c>
      <c r="D362" s="2" t="s">
        <v>18</v>
      </c>
      <c r="E362" s="3">
        <v>45566</v>
      </c>
      <c r="F362" s="20">
        <v>45587</v>
      </c>
      <c r="G362" s="20">
        <v>45585</v>
      </c>
      <c r="H362" s="2">
        <v>763</v>
      </c>
      <c r="I362" s="2">
        <v>708</v>
      </c>
      <c r="J362" s="4" t="s">
        <v>14</v>
      </c>
      <c r="K362">
        <f>Table1[[#This Row],[Delivered Qty]]/Table1[[#This Row],[Ordered Qty]]</f>
        <v>0.92791612057667106</v>
      </c>
      <c r="L362">
        <f>VLOOKUP(Table1[[#This Row],[Supplier ID]],Suppliers!$A$2:$D$6,4,FALSE)</f>
        <v>21</v>
      </c>
      <c r="M362">
        <f>Table1[[#This Row],[Actual Delivery]]-Table1[[#This Row],[Order Date]]-Table1[[#This Row],[std Lead time]]</f>
        <v>-2</v>
      </c>
      <c r="N362">
        <f>IF(AND(Table1[[#This Row],[Status]] = "Delivered", Table1[[#This Row],[Actual Delivery]] &lt;= Table1[[#This Row],[Promised Delivery]],Table1[[#This Row],[FillRate]]&gt;=0.95),1,0)</f>
        <v>0</v>
      </c>
      <c r="O362" t="str">
        <f>VLOOKUP(B362,Products!$A$2:$D$9,3,FALSE)</f>
        <v>Finished Goods</v>
      </c>
    </row>
    <row r="363" spans="1:15" x14ac:dyDescent="0.25">
      <c r="A363" s="15" t="s">
        <v>389</v>
      </c>
      <c r="B363" s="5" t="s">
        <v>33</v>
      </c>
      <c r="C363" s="5" t="s">
        <v>26</v>
      </c>
      <c r="D363" s="5" t="s">
        <v>13</v>
      </c>
      <c r="E363" s="6">
        <v>45586</v>
      </c>
      <c r="F363" s="21">
        <v>45593</v>
      </c>
      <c r="G363" s="21">
        <v>45593</v>
      </c>
      <c r="H363" s="5">
        <v>1181</v>
      </c>
      <c r="I363" s="5">
        <v>1070</v>
      </c>
      <c r="J363" s="4" t="s">
        <v>14</v>
      </c>
      <c r="K363">
        <f>Table1[[#This Row],[Delivered Qty]]/Table1[[#This Row],[Ordered Qty]]</f>
        <v>0.9060118543607113</v>
      </c>
      <c r="L363">
        <f>VLOOKUP(Table1[[#This Row],[Supplier ID]],Suppliers!$A$2:$D$6,4,FALSE)</f>
        <v>7</v>
      </c>
      <c r="M363">
        <f>Table1[[#This Row],[Actual Delivery]]-Table1[[#This Row],[Order Date]]-Table1[[#This Row],[std Lead time]]</f>
        <v>0</v>
      </c>
      <c r="N363">
        <f>IF(AND(Table1[[#This Row],[Status]] = "Delivered", Table1[[#This Row],[Actual Delivery]] &lt;= Table1[[#This Row],[Promised Delivery]],Table1[[#This Row],[FillRate]]&gt;=0.95),1,0)</f>
        <v>0</v>
      </c>
      <c r="O363" t="str">
        <f>VLOOKUP(B363,Products!$A$2:$D$9,3,FALSE)</f>
        <v>Raw Material</v>
      </c>
    </row>
    <row r="364" spans="1:15" x14ac:dyDescent="0.25">
      <c r="A364" s="14" t="s">
        <v>390</v>
      </c>
      <c r="B364" s="2" t="s">
        <v>37</v>
      </c>
      <c r="C364" s="2" t="s">
        <v>57</v>
      </c>
      <c r="D364" s="2" t="s">
        <v>13</v>
      </c>
      <c r="E364" s="3">
        <v>45579</v>
      </c>
      <c r="F364" s="20">
        <v>45600</v>
      </c>
      <c r="G364" s="20">
        <v>45598</v>
      </c>
      <c r="H364" s="2">
        <v>983</v>
      </c>
      <c r="I364" s="2">
        <v>961</v>
      </c>
      <c r="J364" s="4" t="s">
        <v>14</v>
      </c>
      <c r="K364">
        <f>Table1[[#This Row],[Delivered Qty]]/Table1[[#This Row],[Ordered Qty]]</f>
        <v>0.97761953204476093</v>
      </c>
      <c r="L364">
        <f>VLOOKUP(Table1[[#This Row],[Supplier ID]],Suppliers!$A$2:$D$6,4,FALSE)</f>
        <v>21</v>
      </c>
      <c r="M364">
        <f>Table1[[#This Row],[Actual Delivery]]-Table1[[#This Row],[Order Date]]-Table1[[#This Row],[std Lead time]]</f>
        <v>-2</v>
      </c>
      <c r="N364">
        <f>IF(AND(Table1[[#This Row],[Status]] = "Delivered", Table1[[#This Row],[Actual Delivery]] &lt;= Table1[[#This Row],[Promised Delivery]],Table1[[#This Row],[FillRate]]&gt;=0.95),1,0)</f>
        <v>1</v>
      </c>
      <c r="O364" t="str">
        <f>VLOOKUP(B364,Products!$A$2:$D$9,3,FALSE)</f>
        <v>Raw Material</v>
      </c>
    </row>
    <row r="365" spans="1:15" x14ac:dyDescent="0.25">
      <c r="A365" s="15" t="s">
        <v>391</v>
      </c>
      <c r="B365" s="5" t="s">
        <v>30</v>
      </c>
      <c r="C365" s="5" t="s">
        <v>57</v>
      </c>
      <c r="D365" s="5" t="s">
        <v>18</v>
      </c>
      <c r="E365" s="6">
        <v>45577</v>
      </c>
      <c r="F365" s="21">
        <v>45598</v>
      </c>
      <c r="G365" s="21">
        <v>45598</v>
      </c>
      <c r="H365" s="5">
        <v>648</v>
      </c>
      <c r="I365" s="5">
        <v>585</v>
      </c>
      <c r="J365" s="4" t="s">
        <v>14</v>
      </c>
      <c r="K365">
        <f>Table1[[#This Row],[Delivered Qty]]/Table1[[#This Row],[Ordered Qty]]</f>
        <v>0.90277777777777779</v>
      </c>
      <c r="L365">
        <f>VLOOKUP(Table1[[#This Row],[Supplier ID]],Suppliers!$A$2:$D$6,4,FALSE)</f>
        <v>21</v>
      </c>
      <c r="M365">
        <f>Table1[[#This Row],[Actual Delivery]]-Table1[[#This Row],[Order Date]]-Table1[[#This Row],[std Lead time]]</f>
        <v>0</v>
      </c>
      <c r="N365">
        <f>IF(AND(Table1[[#This Row],[Status]] = "Delivered", Table1[[#This Row],[Actual Delivery]] &lt;= Table1[[#This Row],[Promised Delivery]],Table1[[#This Row],[FillRate]]&gt;=0.95),1,0)</f>
        <v>0</v>
      </c>
      <c r="O365" t="str">
        <f>VLOOKUP(B365,Products!$A$2:$D$9,3,FALSE)</f>
        <v>Finished Goods</v>
      </c>
    </row>
    <row r="366" spans="1:15" x14ac:dyDescent="0.25">
      <c r="A366" s="14" t="s">
        <v>392</v>
      </c>
      <c r="B366" s="2" t="s">
        <v>37</v>
      </c>
      <c r="C366" s="2" t="s">
        <v>26</v>
      </c>
      <c r="D366" s="2" t="s">
        <v>18</v>
      </c>
      <c r="E366" s="3">
        <v>45582</v>
      </c>
      <c r="F366" s="20">
        <v>45589</v>
      </c>
      <c r="G366" s="20">
        <v>45591</v>
      </c>
      <c r="H366" s="2">
        <v>526</v>
      </c>
      <c r="I366" s="2">
        <v>478</v>
      </c>
      <c r="J366" s="4" t="s">
        <v>14</v>
      </c>
      <c r="K366">
        <f>Table1[[#This Row],[Delivered Qty]]/Table1[[#This Row],[Ordered Qty]]</f>
        <v>0.90874524714828897</v>
      </c>
      <c r="L366">
        <f>VLOOKUP(Table1[[#This Row],[Supplier ID]],Suppliers!$A$2:$D$6,4,FALSE)</f>
        <v>7</v>
      </c>
      <c r="M366">
        <f>Table1[[#This Row],[Actual Delivery]]-Table1[[#This Row],[Order Date]]-Table1[[#This Row],[std Lead time]]</f>
        <v>2</v>
      </c>
      <c r="N366">
        <f>IF(AND(Table1[[#This Row],[Status]] = "Delivered", Table1[[#This Row],[Actual Delivery]] &lt;= Table1[[#This Row],[Promised Delivery]],Table1[[#This Row],[FillRate]]&gt;=0.95),1,0)</f>
        <v>0</v>
      </c>
      <c r="O366" t="str">
        <f>VLOOKUP(B366,Products!$A$2:$D$9,3,FALSE)</f>
        <v>Raw Material</v>
      </c>
    </row>
    <row r="367" spans="1:15" x14ac:dyDescent="0.25">
      <c r="A367" s="15" t="s">
        <v>393</v>
      </c>
      <c r="B367" s="5" t="s">
        <v>20</v>
      </c>
      <c r="C367" s="5" t="s">
        <v>12</v>
      </c>
      <c r="D367" s="5" t="s">
        <v>28</v>
      </c>
      <c r="E367" s="6">
        <v>45590</v>
      </c>
      <c r="F367" s="21">
        <v>45608</v>
      </c>
      <c r="G367" s="21">
        <v>45606</v>
      </c>
      <c r="H367" s="5">
        <v>560</v>
      </c>
      <c r="I367" s="5">
        <v>517</v>
      </c>
      <c r="J367" s="4" t="s">
        <v>14</v>
      </c>
      <c r="K367">
        <f>Table1[[#This Row],[Delivered Qty]]/Table1[[#This Row],[Ordered Qty]]</f>
        <v>0.92321428571428577</v>
      </c>
      <c r="L367">
        <f>VLOOKUP(Table1[[#This Row],[Supplier ID]],Suppliers!$A$2:$D$6,4,FALSE)</f>
        <v>18</v>
      </c>
      <c r="M367">
        <f>Table1[[#This Row],[Actual Delivery]]-Table1[[#This Row],[Order Date]]-Table1[[#This Row],[std Lead time]]</f>
        <v>-2</v>
      </c>
      <c r="N367">
        <f>IF(AND(Table1[[#This Row],[Status]] = "Delivered", Table1[[#This Row],[Actual Delivery]] &lt;= Table1[[#This Row],[Promised Delivery]],Table1[[#This Row],[FillRate]]&gt;=0.95),1,0)</f>
        <v>0</v>
      </c>
      <c r="O367" t="str">
        <f>VLOOKUP(B367,Products!$A$2:$D$9,3,FALSE)</f>
        <v>Raw Material</v>
      </c>
    </row>
    <row r="368" spans="1:15" x14ac:dyDescent="0.25">
      <c r="A368" s="14" t="s">
        <v>394</v>
      </c>
      <c r="B368" s="2" t="s">
        <v>30</v>
      </c>
      <c r="C368" s="2" t="s">
        <v>12</v>
      </c>
      <c r="D368" s="2" t="s">
        <v>28</v>
      </c>
      <c r="E368" s="3">
        <v>45588</v>
      </c>
      <c r="F368" s="20">
        <v>45606</v>
      </c>
      <c r="G368" s="20">
        <v>45605</v>
      </c>
      <c r="H368" s="2">
        <v>1310</v>
      </c>
      <c r="I368" s="2">
        <v>1219</v>
      </c>
      <c r="J368" s="4" t="s">
        <v>14</v>
      </c>
      <c r="K368">
        <f>Table1[[#This Row],[Delivered Qty]]/Table1[[#This Row],[Ordered Qty]]</f>
        <v>0.93053435114503813</v>
      </c>
      <c r="L368">
        <f>VLOOKUP(Table1[[#This Row],[Supplier ID]],Suppliers!$A$2:$D$6,4,FALSE)</f>
        <v>18</v>
      </c>
      <c r="M368">
        <f>Table1[[#This Row],[Actual Delivery]]-Table1[[#This Row],[Order Date]]-Table1[[#This Row],[std Lead time]]</f>
        <v>-1</v>
      </c>
      <c r="N368">
        <f>IF(AND(Table1[[#This Row],[Status]] = "Delivered", Table1[[#This Row],[Actual Delivery]] &lt;= Table1[[#This Row],[Promised Delivery]],Table1[[#This Row],[FillRate]]&gt;=0.95),1,0)</f>
        <v>0</v>
      </c>
      <c r="O368" t="str">
        <f>VLOOKUP(B368,Products!$A$2:$D$9,3,FALSE)</f>
        <v>Finished Goods</v>
      </c>
    </row>
    <row r="369" spans="1:15" x14ac:dyDescent="0.25">
      <c r="A369" s="15" t="s">
        <v>395</v>
      </c>
      <c r="B369" s="5" t="s">
        <v>44</v>
      </c>
      <c r="C369" s="5" t="s">
        <v>26</v>
      </c>
      <c r="D369" s="5" t="s">
        <v>28</v>
      </c>
      <c r="E369" s="6">
        <v>45567</v>
      </c>
      <c r="F369" s="21">
        <v>45574</v>
      </c>
      <c r="G369" s="21">
        <v>45572</v>
      </c>
      <c r="H369" s="5">
        <v>1278</v>
      </c>
      <c r="I369" s="5">
        <v>1211</v>
      </c>
      <c r="J369" s="4" t="s">
        <v>14</v>
      </c>
      <c r="K369">
        <f>Table1[[#This Row],[Delivered Qty]]/Table1[[#This Row],[Ordered Qty]]</f>
        <v>0.94757433489827858</v>
      </c>
      <c r="L369">
        <f>VLOOKUP(Table1[[#This Row],[Supplier ID]],Suppliers!$A$2:$D$6,4,FALSE)</f>
        <v>7</v>
      </c>
      <c r="M369">
        <f>Table1[[#This Row],[Actual Delivery]]-Table1[[#This Row],[Order Date]]-Table1[[#This Row],[std Lead time]]</f>
        <v>-2</v>
      </c>
      <c r="N369">
        <f>IF(AND(Table1[[#This Row],[Status]] = "Delivered", Table1[[#This Row],[Actual Delivery]] &lt;= Table1[[#This Row],[Promised Delivery]],Table1[[#This Row],[FillRate]]&gt;=0.95),1,0)</f>
        <v>0</v>
      </c>
      <c r="O369" t="str">
        <f>VLOOKUP(B369,Products!$A$2:$D$9,3,FALSE)</f>
        <v>Finished Goods</v>
      </c>
    </row>
    <row r="370" spans="1:15" x14ac:dyDescent="0.25">
      <c r="A370" s="14" t="s">
        <v>396</v>
      </c>
      <c r="B370" s="2" t="s">
        <v>30</v>
      </c>
      <c r="C370" s="2" t="s">
        <v>17</v>
      </c>
      <c r="D370" s="2" t="s">
        <v>13</v>
      </c>
      <c r="E370" s="3">
        <v>45591</v>
      </c>
      <c r="F370" s="20">
        <v>45597</v>
      </c>
      <c r="G370" s="20">
        <v>45595</v>
      </c>
      <c r="H370" s="2">
        <v>1843</v>
      </c>
      <c r="I370" s="2">
        <v>1814</v>
      </c>
      <c r="J370" s="4" t="s">
        <v>14</v>
      </c>
      <c r="K370">
        <f>Table1[[#This Row],[Delivered Qty]]/Table1[[#This Row],[Ordered Qty]]</f>
        <v>0.984264785675529</v>
      </c>
      <c r="L370">
        <f>VLOOKUP(Table1[[#This Row],[Supplier ID]],Suppliers!$A$2:$D$6,4,FALSE)</f>
        <v>6</v>
      </c>
      <c r="M370">
        <f>Table1[[#This Row],[Actual Delivery]]-Table1[[#This Row],[Order Date]]-Table1[[#This Row],[std Lead time]]</f>
        <v>-2</v>
      </c>
      <c r="N370">
        <f>IF(AND(Table1[[#This Row],[Status]] = "Delivered", Table1[[#This Row],[Actual Delivery]] &lt;= Table1[[#This Row],[Promised Delivery]],Table1[[#This Row],[FillRate]]&gt;=0.95),1,0)</f>
        <v>1</v>
      </c>
      <c r="O370" t="str">
        <f>VLOOKUP(B370,Products!$A$2:$D$9,3,FALSE)</f>
        <v>Finished Goods</v>
      </c>
    </row>
    <row r="371" spans="1:15" x14ac:dyDescent="0.25">
      <c r="A371" s="15" t="s">
        <v>397</v>
      </c>
      <c r="B371" s="5" t="s">
        <v>30</v>
      </c>
      <c r="C371" s="5" t="s">
        <v>26</v>
      </c>
      <c r="D371" s="5" t="s">
        <v>28</v>
      </c>
      <c r="E371" s="6">
        <v>45570</v>
      </c>
      <c r="F371" s="21">
        <v>45577</v>
      </c>
      <c r="G371" s="21">
        <v>45582</v>
      </c>
      <c r="H371" s="5">
        <v>1962</v>
      </c>
      <c r="I371" s="5">
        <v>1837</v>
      </c>
      <c r="J371" s="4" t="s">
        <v>14</v>
      </c>
      <c r="K371">
        <f>Table1[[#This Row],[Delivered Qty]]/Table1[[#This Row],[Ordered Qty]]</f>
        <v>0.93628950050968396</v>
      </c>
      <c r="L371">
        <f>VLOOKUP(Table1[[#This Row],[Supplier ID]],Suppliers!$A$2:$D$6,4,FALSE)</f>
        <v>7</v>
      </c>
      <c r="M371">
        <f>Table1[[#This Row],[Actual Delivery]]-Table1[[#This Row],[Order Date]]-Table1[[#This Row],[std Lead time]]</f>
        <v>5</v>
      </c>
      <c r="N371">
        <f>IF(AND(Table1[[#This Row],[Status]] = "Delivered", Table1[[#This Row],[Actual Delivery]] &lt;= Table1[[#This Row],[Promised Delivery]],Table1[[#This Row],[FillRate]]&gt;=0.95),1,0)</f>
        <v>0</v>
      </c>
      <c r="O371" t="str">
        <f>VLOOKUP(B371,Products!$A$2:$D$9,3,FALSE)</f>
        <v>Finished Goods</v>
      </c>
    </row>
    <row r="372" spans="1:15" x14ac:dyDescent="0.25">
      <c r="A372" s="14" t="s">
        <v>398</v>
      </c>
      <c r="B372" s="2" t="s">
        <v>16</v>
      </c>
      <c r="C372" s="2" t="s">
        <v>12</v>
      </c>
      <c r="D372" s="2" t="s">
        <v>18</v>
      </c>
      <c r="E372" s="3">
        <v>45584</v>
      </c>
      <c r="F372" s="20">
        <v>45602</v>
      </c>
      <c r="G372" s="20">
        <v>45600</v>
      </c>
      <c r="H372" s="2">
        <v>1699</v>
      </c>
      <c r="I372" s="2">
        <v>1679</v>
      </c>
      <c r="J372" s="4" t="s">
        <v>14</v>
      </c>
      <c r="K372">
        <f>Table1[[#This Row],[Delivered Qty]]/Table1[[#This Row],[Ordered Qty]]</f>
        <v>0.98822836962919369</v>
      </c>
      <c r="L372">
        <f>VLOOKUP(Table1[[#This Row],[Supplier ID]],Suppliers!$A$2:$D$6,4,FALSE)</f>
        <v>18</v>
      </c>
      <c r="M372">
        <f>Table1[[#This Row],[Actual Delivery]]-Table1[[#This Row],[Order Date]]-Table1[[#This Row],[std Lead time]]</f>
        <v>-2</v>
      </c>
      <c r="N372">
        <f>IF(AND(Table1[[#This Row],[Status]] = "Delivered", Table1[[#This Row],[Actual Delivery]] &lt;= Table1[[#This Row],[Promised Delivery]],Table1[[#This Row],[FillRate]]&gt;=0.95),1,0)</f>
        <v>1</v>
      </c>
      <c r="O372" t="str">
        <f>VLOOKUP(B372,Products!$A$2:$D$9,3,FALSE)</f>
        <v>Packaging</v>
      </c>
    </row>
    <row r="373" spans="1:15" x14ac:dyDescent="0.25">
      <c r="A373" s="15" t="s">
        <v>399</v>
      </c>
      <c r="B373" s="5" t="s">
        <v>44</v>
      </c>
      <c r="C373" s="5" t="s">
        <v>12</v>
      </c>
      <c r="D373" s="5" t="s">
        <v>13</v>
      </c>
      <c r="E373" s="6">
        <v>45588</v>
      </c>
      <c r="F373" s="21">
        <v>45606</v>
      </c>
      <c r="G373" s="21">
        <v>45605</v>
      </c>
      <c r="H373" s="5">
        <v>828</v>
      </c>
      <c r="I373" s="5">
        <v>805</v>
      </c>
      <c r="J373" s="4" t="s">
        <v>14</v>
      </c>
      <c r="K373">
        <f>Table1[[#This Row],[Delivered Qty]]/Table1[[#This Row],[Ordered Qty]]</f>
        <v>0.97222222222222221</v>
      </c>
      <c r="L373">
        <f>VLOOKUP(Table1[[#This Row],[Supplier ID]],Suppliers!$A$2:$D$6,4,FALSE)</f>
        <v>18</v>
      </c>
      <c r="M373">
        <f>Table1[[#This Row],[Actual Delivery]]-Table1[[#This Row],[Order Date]]-Table1[[#This Row],[std Lead time]]</f>
        <v>-1</v>
      </c>
      <c r="N373">
        <f>IF(AND(Table1[[#This Row],[Status]] = "Delivered", Table1[[#This Row],[Actual Delivery]] &lt;= Table1[[#This Row],[Promised Delivery]],Table1[[#This Row],[FillRate]]&gt;=0.95),1,0)</f>
        <v>1</v>
      </c>
      <c r="O373" t="str">
        <f>VLOOKUP(B373,Products!$A$2:$D$9,3,FALSE)</f>
        <v>Finished Goods</v>
      </c>
    </row>
    <row r="374" spans="1:15" x14ac:dyDescent="0.25">
      <c r="A374" s="14" t="s">
        <v>400</v>
      </c>
      <c r="B374" s="2" t="s">
        <v>37</v>
      </c>
      <c r="C374" s="2" t="s">
        <v>31</v>
      </c>
      <c r="D374" s="2" t="s">
        <v>13</v>
      </c>
      <c r="E374" s="3">
        <v>45589</v>
      </c>
      <c r="F374" s="20">
        <v>45594</v>
      </c>
      <c r="G374" s="20">
        <v>45599</v>
      </c>
      <c r="H374" s="2">
        <v>1001</v>
      </c>
      <c r="I374" s="2">
        <v>986</v>
      </c>
      <c r="J374" s="4" t="s">
        <v>14</v>
      </c>
      <c r="K374">
        <f>Table1[[#This Row],[Delivered Qty]]/Table1[[#This Row],[Ordered Qty]]</f>
        <v>0.98501498501498497</v>
      </c>
      <c r="L374">
        <f>VLOOKUP(Table1[[#This Row],[Supplier ID]],Suppliers!$A$2:$D$6,4,FALSE)</f>
        <v>5</v>
      </c>
      <c r="M374">
        <f>Table1[[#This Row],[Actual Delivery]]-Table1[[#This Row],[Order Date]]-Table1[[#This Row],[std Lead time]]</f>
        <v>5</v>
      </c>
      <c r="N374">
        <f>IF(AND(Table1[[#This Row],[Status]] = "Delivered", Table1[[#This Row],[Actual Delivery]] &lt;= Table1[[#This Row],[Promised Delivery]],Table1[[#This Row],[FillRate]]&gt;=0.95),1,0)</f>
        <v>0</v>
      </c>
      <c r="O374" t="str">
        <f>VLOOKUP(B374,Products!$A$2:$D$9,3,FALSE)</f>
        <v>Raw Material</v>
      </c>
    </row>
    <row r="375" spans="1:15" x14ac:dyDescent="0.25">
      <c r="A375" s="15" t="s">
        <v>401</v>
      </c>
      <c r="B375" s="5" t="s">
        <v>11</v>
      </c>
      <c r="C375" s="5" t="s">
        <v>31</v>
      </c>
      <c r="D375" s="5" t="s">
        <v>23</v>
      </c>
      <c r="E375" s="6">
        <v>45591</v>
      </c>
      <c r="F375" s="21">
        <v>45596</v>
      </c>
      <c r="G375" s="21">
        <v>45594</v>
      </c>
      <c r="H375" s="5">
        <v>1216</v>
      </c>
      <c r="I375" s="5">
        <v>986</v>
      </c>
      <c r="J375" s="4" t="s">
        <v>14</v>
      </c>
      <c r="K375">
        <f>Table1[[#This Row],[Delivered Qty]]/Table1[[#This Row],[Ordered Qty]]</f>
        <v>0.81085526315789469</v>
      </c>
      <c r="L375">
        <f>VLOOKUP(Table1[[#This Row],[Supplier ID]],Suppliers!$A$2:$D$6,4,FALSE)</f>
        <v>5</v>
      </c>
      <c r="M375">
        <f>Table1[[#This Row],[Actual Delivery]]-Table1[[#This Row],[Order Date]]-Table1[[#This Row],[std Lead time]]</f>
        <v>-2</v>
      </c>
      <c r="N375">
        <f>IF(AND(Table1[[#This Row],[Status]] = "Delivered", Table1[[#This Row],[Actual Delivery]] &lt;= Table1[[#This Row],[Promised Delivery]],Table1[[#This Row],[FillRate]]&gt;=0.95),1,0)</f>
        <v>0</v>
      </c>
      <c r="O375" t="str">
        <f>VLOOKUP(B375,Products!$A$2:$D$9,3,FALSE)</f>
        <v>Packaging</v>
      </c>
    </row>
    <row r="376" spans="1:15" x14ac:dyDescent="0.25">
      <c r="A376" s="14" t="s">
        <v>402</v>
      </c>
      <c r="B376" s="2" t="s">
        <v>16</v>
      </c>
      <c r="C376" s="2" t="s">
        <v>31</v>
      </c>
      <c r="D376" s="2" t="s">
        <v>23</v>
      </c>
      <c r="E376" s="3">
        <v>45576</v>
      </c>
      <c r="F376" s="20">
        <v>45581</v>
      </c>
      <c r="G376" s="20">
        <v>45579</v>
      </c>
      <c r="H376" s="2">
        <v>1882</v>
      </c>
      <c r="I376" s="2">
        <v>1761</v>
      </c>
      <c r="J376" s="4" t="s">
        <v>14</v>
      </c>
      <c r="K376">
        <f>Table1[[#This Row],[Delivered Qty]]/Table1[[#This Row],[Ordered Qty]]</f>
        <v>0.93570669500531345</v>
      </c>
      <c r="L376">
        <f>VLOOKUP(Table1[[#This Row],[Supplier ID]],Suppliers!$A$2:$D$6,4,FALSE)</f>
        <v>5</v>
      </c>
      <c r="M376">
        <f>Table1[[#This Row],[Actual Delivery]]-Table1[[#This Row],[Order Date]]-Table1[[#This Row],[std Lead time]]</f>
        <v>-2</v>
      </c>
      <c r="N376">
        <f>IF(AND(Table1[[#This Row],[Status]] = "Delivered", Table1[[#This Row],[Actual Delivery]] &lt;= Table1[[#This Row],[Promised Delivery]],Table1[[#This Row],[FillRate]]&gt;=0.95),1,0)</f>
        <v>0</v>
      </c>
      <c r="O376" t="str">
        <f>VLOOKUP(B376,Products!$A$2:$D$9,3,FALSE)</f>
        <v>Packaging</v>
      </c>
    </row>
    <row r="377" spans="1:15" x14ac:dyDescent="0.25">
      <c r="A377" s="15" t="s">
        <v>403</v>
      </c>
      <c r="B377" s="5" t="s">
        <v>30</v>
      </c>
      <c r="C377" s="5" t="s">
        <v>57</v>
      </c>
      <c r="D377" s="5" t="s">
        <v>28</v>
      </c>
      <c r="E377" s="6">
        <v>45574</v>
      </c>
      <c r="F377" s="21">
        <v>45595</v>
      </c>
      <c r="G377" s="21">
        <v>45593</v>
      </c>
      <c r="H377" s="5">
        <v>1675</v>
      </c>
      <c r="I377" s="5">
        <v>1507</v>
      </c>
      <c r="J377" s="4" t="s">
        <v>14</v>
      </c>
      <c r="K377">
        <f>Table1[[#This Row],[Delivered Qty]]/Table1[[#This Row],[Ordered Qty]]</f>
        <v>0.89970149253731346</v>
      </c>
      <c r="L377">
        <f>VLOOKUP(Table1[[#This Row],[Supplier ID]],Suppliers!$A$2:$D$6,4,FALSE)</f>
        <v>21</v>
      </c>
      <c r="M377">
        <f>Table1[[#This Row],[Actual Delivery]]-Table1[[#This Row],[Order Date]]-Table1[[#This Row],[std Lead time]]</f>
        <v>-2</v>
      </c>
      <c r="N377">
        <f>IF(AND(Table1[[#This Row],[Status]] = "Delivered", Table1[[#This Row],[Actual Delivery]] &lt;= Table1[[#This Row],[Promised Delivery]],Table1[[#This Row],[FillRate]]&gt;=0.95),1,0)</f>
        <v>0</v>
      </c>
      <c r="O377" t="str">
        <f>VLOOKUP(B377,Products!$A$2:$D$9,3,FALSE)</f>
        <v>Finished Goods</v>
      </c>
    </row>
    <row r="378" spans="1:15" x14ac:dyDescent="0.25">
      <c r="A378" s="14" t="s">
        <v>404</v>
      </c>
      <c r="B378" s="2" t="s">
        <v>22</v>
      </c>
      <c r="C378" s="2" t="s">
        <v>57</v>
      </c>
      <c r="D378" s="2" t="s">
        <v>18</v>
      </c>
      <c r="E378" s="3">
        <v>45571</v>
      </c>
      <c r="F378" s="20">
        <v>45592</v>
      </c>
      <c r="G378" s="20">
        <v>45591</v>
      </c>
      <c r="H378" s="2">
        <v>407</v>
      </c>
      <c r="I378" s="2">
        <v>400</v>
      </c>
      <c r="J378" s="4" t="s">
        <v>14</v>
      </c>
      <c r="K378">
        <f>Table1[[#This Row],[Delivered Qty]]/Table1[[#This Row],[Ordered Qty]]</f>
        <v>0.98280098280098283</v>
      </c>
      <c r="L378">
        <f>VLOOKUP(Table1[[#This Row],[Supplier ID]],Suppliers!$A$2:$D$6,4,FALSE)</f>
        <v>21</v>
      </c>
      <c r="M378">
        <f>Table1[[#This Row],[Actual Delivery]]-Table1[[#This Row],[Order Date]]-Table1[[#This Row],[std Lead time]]</f>
        <v>-1</v>
      </c>
      <c r="N378">
        <f>IF(AND(Table1[[#This Row],[Status]] = "Delivered", Table1[[#This Row],[Actual Delivery]] &lt;= Table1[[#This Row],[Promised Delivery]],Table1[[#This Row],[FillRate]]&gt;=0.95),1,0)</f>
        <v>1</v>
      </c>
      <c r="O378" t="str">
        <f>VLOOKUP(B378,Products!$A$2:$D$9,3,FALSE)</f>
        <v>Finished Goods</v>
      </c>
    </row>
    <row r="379" spans="1:15" x14ac:dyDescent="0.25">
      <c r="A379" s="15" t="s">
        <v>405</v>
      </c>
      <c r="B379" s="5" t="s">
        <v>20</v>
      </c>
      <c r="C379" s="5" t="s">
        <v>31</v>
      </c>
      <c r="D379" s="5" t="s">
        <v>18</v>
      </c>
      <c r="E379" s="6">
        <v>45568</v>
      </c>
      <c r="F379" s="21">
        <v>45573</v>
      </c>
      <c r="G379" s="21">
        <v>45572</v>
      </c>
      <c r="H379" s="5">
        <v>734</v>
      </c>
      <c r="I379" s="5">
        <v>730</v>
      </c>
      <c r="J379" s="4" t="s">
        <v>14</v>
      </c>
      <c r="K379">
        <f>Table1[[#This Row],[Delivered Qty]]/Table1[[#This Row],[Ordered Qty]]</f>
        <v>0.99455040871934608</v>
      </c>
      <c r="L379">
        <f>VLOOKUP(Table1[[#This Row],[Supplier ID]],Suppliers!$A$2:$D$6,4,FALSE)</f>
        <v>5</v>
      </c>
      <c r="M379">
        <f>Table1[[#This Row],[Actual Delivery]]-Table1[[#This Row],[Order Date]]-Table1[[#This Row],[std Lead time]]</f>
        <v>-1</v>
      </c>
      <c r="N379">
        <f>IF(AND(Table1[[#This Row],[Status]] = "Delivered", Table1[[#This Row],[Actual Delivery]] &lt;= Table1[[#This Row],[Promised Delivery]],Table1[[#This Row],[FillRate]]&gt;=0.95),1,0)</f>
        <v>1</v>
      </c>
      <c r="O379" t="str">
        <f>VLOOKUP(B379,Products!$A$2:$D$9,3,FALSE)</f>
        <v>Raw Material</v>
      </c>
    </row>
    <row r="380" spans="1:15" x14ac:dyDescent="0.25">
      <c r="A380" s="14" t="s">
        <v>406</v>
      </c>
      <c r="B380" s="2" t="s">
        <v>16</v>
      </c>
      <c r="C380" s="2" t="s">
        <v>12</v>
      </c>
      <c r="D380" s="2" t="s">
        <v>13</v>
      </c>
      <c r="E380" s="3">
        <v>45578</v>
      </c>
      <c r="F380" s="20">
        <v>45596</v>
      </c>
      <c r="G380" s="20">
        <v>45594</v>
      </c>
      <c r="H380" s="2">
        <v>892</v>
      </c>
      <c r="I380" s="2">
        <v>812</v>
      </c>
      <c r="J380" s="4" t="s">
        <v>14</v>
      </c>
      <c r="K380">
        <f>Table1[[#This Row],[Delivered Qty]]/Table1[[#This Row],[Ordered Qty]]</f>
        <v>0.91031390134529144</v>
      </c>
      <c r="L380">
        <f>VLOOKUP(Table1[[#This Row],[Supplier ID]],Suppliers!$A$2:$D$6,4,FALSE)</f>
        <v>18</v>
      </c>
      <c r="M380">
        <f>Table1[[#This Row],[Actual Delivery]]-Table1[[#This Row],[Order Date]]-Table1[[#This Row],[std Lead time]]</f>
        <v>-2</v>
      </c>
      <c r="N380">
        <f>IF(AND(Table1[[#This Row],[Status]] = "Delivered", Table1[[#This Row],[Actual Delivery]] &lt;= Table1[[#This Row],[Promised Delivery]],Table1[[#This Row],[FillRate]]&gt;=0.95),1,0)</f>
        <v>0</v>
      </c>
      <c r="O380" t="str">
        <f>VLOOKUP(B380,Products!$A$2:$D$9,3,FALSE)</f>
        <v>Packaging</v>
      </c>
    </row>
    <row r="381" spans="1:15" x14ac:dyDescent="0.25">
      <c r="A381" s="15" t="s">
        <v>407</v>
      </c>
      <c r="B381" s="5" t="s">
        <v>44</v>
      </c>
      <c r="C381" s="5" t="s">
        <v>26</v>
      </c>
      <c r="D381" s="5" t="s">
        <v>18</v>
      </c>
      <c r="E381" s="6">
        <v>45586</v>
      </c>
      <c r="F381" s="21">
        <v>45593</v>
      </c>
      <c r="G381" s="21">
        <v>45592</v>
      </c>
      <c r="H381" s="5">
        <v>521</v>
      </c>
      <c r="I381" s="5">
        <v>471</v>
      </c>
      <c r="J381" s="4" t="s">
        <v>14</v>
      </c>
      <c r="K381">
        <f>Table1[[#This Row],[Delivered Qty]]/Table1[[#This Row],[Ordered Qty]]</f>
        <v>0.90403071017274472</v>
      </c>
      <c r="L381">
        <f>VLOOKUP(Table1[[#This Row],[Supplier ID]],Suppliers!$A$2:$D$6,4,FALSE)</f>
        <v>7</v>
      </c>
      <c r="M381">
        <f>Table1[[#This Row],[Actual Delivery]]-Table1[[#This Row],[Order Date]]-Table1[[#This Row],[std Lead time]]</f>
        <v>-1</v>
      </c>
      <c r="N381">
        <f>IF(AND(Table1[[#This Row],[Status]] = "Delivered", Table1[[#This Row],[Actual Delivery]] &lt;= Table1[[#This Row],[Promised Delivery]],Table1[[#This Row],[FillRate]]&gt;=0.95),1,0)</f>
        <v>0</v>
      </c>
      <c r="O381" t="str">
        <f>VLOOKUP(B381,Products!$A$2:$D$9,3,FALSE)</f>
        <v>Finished Goods</v>
      </c>
    </row>
    <row r="382" spans="1:15" x14ac:dyDescent="0.25">
      <c r="A382" s="14" t="s">
        <v>408</v>
      </c>
      <c r="B382" s="2" t="s">
        <v>30</v>
      </c>
      <c r="C382" s="2" t="s">
        <v>31</v>
      </c>
      <c r="D382" s="2" t="s">
        <v>13</v>
      </c>
      <c r="E382" s="3">
        <v>45579</v>
      </c>
      <c r="F382" s="20">
        <v>45584</v>
      </c>
      <c r="G382" s="20">
        <v>45583</v>
      </c>
      <c r="H382" s="2">
        <v>686</v>
      </c>
      <c r="I382" s="2">
        <v>623</v>
      </c>
      <c r="J382" s="4" t="s">
        <v>14</v>
      </c>
      <c r="K382">
        <f>Table1[[#This Row],[Delivered Qty]]/Table1[[#This Row],[Ordered Qty]]</f>
        <v>0.90816326530612246</v>
      </c>
      <c r="L382">
        <f>VLOOKUP(Table1[[#This Row],[Supplier ID]],Suppliers!$A$2:$D$6,4,FALSE)</f>
        <v>5</v>
      </c>
      <c r="M382">
        <f>Table1[[#This Row],[Actual Delivery]]-Table1[[#This Row],[Order Date]]-Table1[[#This Row],[std Lead time]]</f>
        <v>-1</v>
      </c>
      <c r="N382">
        <f>IF(AND(Table1[[#This Row],[Status]] = "Delivered", Table1[[#This Row],[Actual Delivery]] &lt;= Table1[[#This Row],[Promised Delivery]],Table1[[#This Row],[FillRate]]&gt;=0.95),1,0)</f>
        <v>0</v>
      </c>
      <c r="O382" t="str">
        <f>VLOOKUP(B382,Products!$A$2:$D$9,3,FALSE)</f>
        <v>Finished Goods</v>
      </c>
    </row>
    <row r="383" spans="1:15" x14ac:dyDescent="0.25">
      <c r="A383" s="15" t="s">
        <v>409</v>
      </c>
      <c r="B383" s="5" t="s">
        <v>22</v>
      </c>
      <c r="C383" s="5" t="s">
        <v>17</v>
      </c>
      <c r="D383" s="5" t="s">
        <v>18</v>
      </c>
      <c r="E383" s="6">
        <v>45570</v>
      </c>
      <c r="F383" s="21">
        <v>45576</v>
      </c>
      <c r="G383" s="21">
        <v>45575</v>
      </c>
      <c r="H383" s="5">
        <v>379</v>
      </c>
      <c r="I383" s="5">
        <v>352</v>
      </c>
      <c r="J383" s="4" t="s">
        <v>14</v>
      </c>
      <c r="K383">
        <f>Table1[[#This Row],[Delivered Qty]]/Table1[[#This Row],[Ordered Qty]]</f>
        <v>0.9287598944591029</v>
      </c>
      <c r="L383">
        <f>VLOOKUP(Table1[[#This Row],[Supplier ID]],Suppliers!$A$2:$D$6,4,FALSE)</f>
        <v>6</v>
      </c>
      <c r="M383">
        <f>Table1[[#This Row],[Actual Delivery]]-Table1[[#This Row],[Order Date]]-Table1[[#This Row],[std Lead time]]</f>
        <v>-1</v>
      </c>
      <c r="N383">
        <f>IF(AND(Table1[[#This Row],[Status]] = "Delivered", Table1[[#This Row],[Actual Delivery]] &lt;= Table1[[#This Row],[Promised Delivery]],Table1[[#This Row],[FillRate]]&gt;=0.95),1,0)</f>
        <v>0</v>
      </c>
      <c r="O383" t="str">
        <f>VLOOKUP(B383,Products!$A$2:$D$9,3,FALSE)</f>
        <v>Finished Goods</v>
      </c>
    </row>
    <row r="384" spans="1:15" x14ac:dyDescent="0.25">
      <c r="A384" s="14" t="s">
        <v>410</v>
      </c>
      <c r="B384" s="2" t="s">
        <v>44</v>
      </c>
      <c r="C384" s="2" t="s">
        <v>31</v>
      </c>
      <c r="D384" s="2" t="s">
        <v>28</v>
      </c>
      <c r="E384" s="3">
        <v>45566</v>
      </c>
      <c r="F384" s="20">
        <v>45571</v>
      </c>
      <c r="G384" s="20">
        <v>45570</v>
      </c>
      <c r="H384" s="2">
        <v>367</v>
      </c>
      <c r="I384" s="2">
        <v>347</v>
      </c>
      <c r="J384" s="4" t="s">
        <v>14</v>
      </c>
      <c r="K384">
        <f>Table1[[#This Row],[Delivered Qty]]/Table1[[#This Row],[Ordered Qty]]</f>
        <v>0.94550408719346046</v>
      </c>
      <c r="L384">
        <f>VLOOKUP(Table1[[#This Row],[Supplier ID]],Suppliers!$A$2:$D$6,4,FALSE)</f>
        <v>5</v>
      </c>
      <c r="M384">
        <f>Table1[[#This Row],[Actual Delivery]]-Table1[[#This Row],[Order Date]]-Table1[[#This Row],[std Lead time]]</f>
        <v>-1</v>
      </c>
      <c r="N384">
        <f>IF(AND(Table1[[#This Row],[Status]] = "Delivered", Table1[[#This Row],[Actual Delivery]] &lt;= Table1[[#This Row],[Promised Delivery]],Table1[[#This Row],[FillRate]]&gt;=0.95),1,0)</f>
        <v>0</v>
      </c>
      <c r="O384" t="str">
        <f>VLOOKUP(B384,Products!$A$2:$D$9,3,FALSE)</f>
        <v>Finished Goods</v>
      </c>
    </row>
    <row r="385" spans="1:15" x14ac:dyDescent="0.25">
      <c r="A385" s="15" t="s">
        <v>411</v>
      </c>
      <c r="B385" s="5" t="s">
        <v>16</v>
      </c>
      <c r="C385" s="5" t="s">
        <v>12</v>
      </c>
      <c r="D385" s="5" t="s">
        <v>18</v>
      </c>
      <c r="E385" s="6">
        <v>45581</v>
      </c>
      <c r="F385" s="21">
        <v>45599</v>
      </c>
      <c r="G385" s="21">
        <v>45597</v>
      </c>
      <c r="H385" s="5">
        <v>959</v>
      </c>
      <c r="I385" s="5">
        <v>934</v>
      </c>
      <c r="J385" s="4" t="s">
        <v>14</v>
      </c>
      <c r="K385">
        <f>Table1[[#This Row],[Delivered Qty]]/Table1[[#This Row],[Ordered Qty]]</f>
        <v>0.97393117831074039</v>
      </c>
      <c r="L385">
        <f>VLOOKUP(Table1[[#This Row],[Supplier ID]],Suppliers!$A$2:$D$6,4,FALSE)</f>
        <v>18</v>
      </c>
      <c r="M385">
        <f>Table1[[#This Row],[Actual Delivery]]-Table1[[#This Row],[Order Date]]-Table1[[#This Row],[std Lead time]]</f>
        <v>-2</v>
      </c>
      <c r="N385">
        <f>IF(AND(Table1[[#This Row],[Status]] = "Delivered", Table1[[#This Row],[Actual Delivery]] &lt;= Table1[[#This Row],[Promised Delivery]],Table1[[#This Row],[FillRate]]&gt;=0.95),1,0)</f>
        <v>1</v>
      </c>
      <c r="O385" t="str">
        <f>VLOOKUP(B385,Products!$A$2:$D$9,3,FALSE)</f>
        <v>Packaging</v>
      </c>
    </row>
    <row r="386" spans="1:15" x14ac:dyDescent="0.25">
      <c r="A386" s="14" t="s">
        <v>412</v>
      </c>
      <c r="B386" s="2" t="s">
        <v>30</v>
      </c>
      <c r="C386" s="2" t="s">
        <v>31</v>
      </c>
      <c r="D386" s="2" t="s">
        <v>18</v>
      </c>
      <c r="E386" s="3">
        <v>45567</v>
      </c>
      <c r="F386" s="20">
        <v>45572</v>
      </c>
      <c r="G386" s="20">
        <v>45571</v>
      </c>
      <c r="H386" s="2">
        <v>663</v>
      </c>
      <c r="I386" s="2">
        <v>652</v>
      </c>
      <c r="J386" s="4" t="s">
        <v>14</v>
      </c>
      <c r="K386">
        <f>Table1[[#This Row],[Delivered Qty]]/Table1[[#This Row],[Ordered Qty]]</f>
        <v>0.98340874811463042</v>
      </c>
      <c r="L386">
        <f>VLOOKUP(Table1[[#This Row],[Supplier ID]],Suppliers!$A$2:$D$6,4,FALSE)</f>
        <v>5</v>
      </c>
      <c r="M386">
        <f>Table1[[#This Row],[Actual Delivery]]-Table1[[#This Row],[Order Date]]-Table1[[#This Row],[std Lead time]]</f>
        <v>-1</v>
      </c>
      <c r="N386">
        <f>IF(AND(Table1[[#This Row],[Status]] = "Delivered", Table1[[#This Row],[Actual Delivery]] &lt;= Table1[[#This Row],[Promised Delivery]],Table1[[#This Row],[FillRate]]&gt;=0.95),1,0)</f>
        <v>1</v>
      </c>
      <c r="O386" t="str">
        <f>VLOOKUP(B386,Products!$A$2:$D$9,3,FALSE)</f>
        <v>Finished Goods</v>
      </c>
    </row>
    <row r="387" spans="1:15" x14ac:dyDescent="0.25">
      <c r="A387" s="15" t="s">
        <v>413</v>
      </c>
      <c r="B387" s="5" t="s">
        <v>11</v>
      </c>
      <c r="C387" s="5" t="s">
        <v>31</v>
      </c>
      <c r="D387" s="5" t="s">
        <v>28</v>
      </c>
      <c r="E387" s="6">
        <v>45568</v>
      </c>
      <c r="F387" s="21">
        <v>45573</v>
      </c>
      <c r="G387" s="21">
        <v>45577</v>
      </c>
      <c r="H387" s="5">
        <v>1749</v>
      </c>
      <c r="I387" s="5">
        <v>1591</v>
      </c>
      <c r="J387" s="4" t="s">
        <v>14</v>
      </c>
      <c r="K387">
        <f>Table1[[#This Row],[Delivered Qty]]/Table1[[#This Row],[Ordered Qty]]</f>
        <v>0.90966266437964549</v>
      </c>
      <c r="L387">
        <f>VLOOKUP(Table1[[#This Row],[Supplier ID]],Suppliers!$A$2:$D$6,4,FALSE)</f>
        <v>5</v>
      </c>
      <c r="M387">
        <f>Table1[[#This Row],[Actual Delivery]]-Table1[[#This Row],[Order Date]]-Table1[[#This Row],[std Lead time]]</f>
        <v>4</v>
      </c>
      <c r="N387">
        <f>IF(AND(Table1[[#This Row],[Status]] = "Delivered", Table1[[#This Row],[Actual Delivery]] &lt;= Table1[[#This Row],[Promised Delivery]],Table1[[#This Row],[FillRate]]&gt;=0.95),1,0)</f>
        <v>0</v>
      </c>
      <c r="O387" t="str">
        <f>VLOOKUP(B387,Products!$A$2:$D$9,3,FALSE)</f>
        <v>Packaging</v>
      </c>
    </row>
    <row r="388" spans="1:15" x14ac:dyDescent="0.25">
      <c r="A388" s="14" t="s">
        <v>414</v>
      </c>
      <c r="B388" s="2" t="s">
        <v>11</v>
      </c>
      <c r="C388" s="2" t="s">
        <v>57</v>
      </c>
      <c r="D388" s="2" t="s">
        <v>18</v>
      </c>
      <c r="E388" s="3">
        <v>45583</v>
      </c>
      <c r="F388" s="20">
        <v>45604</v>
      </c>
      <c r="G388" s="20">
        <v>45604</v>
      </c>
      <c r="H388" s="2">
        <v>271</v>
      </c>
      <c r="I388" s="2">
        <v>241</v>
      </c>
      <c r="J388" s="4" t="s">
        <v>14</v>
      </c>
      <c r="K388">
        <f>Table1[[#This Row],[Delivered Qty]]/Table1[[#This Row],[Ordered Qty]]</f>
        <v>0.88929889298892983</v>
      </c>
      <c r="L388">
        <f>VLOOKUP(Table1[[#This Row],[Supplier ID]],Suppliers!$A$2:$D$6,4,FALSE)</f>
        <v>21</v>
      </c>
      <c r="M388">
        <f>Table1[[#This Row],[Actual Delivery]]-Table1[[#This Row],[Order Date]]-Table1[[#This Row],[std Lead time]]</f>
        <v>0</v>
      </c>
      <c r="N388">
        <f>IF(AND(Table1[[#This Row],[Status]] = "Delivered", Table1[[#This Row],[Actual Delivery]] &lt;= Table1[[#This Row],[Promised Delivery]],Table1[[#This Row],[FillRate]]&gt;=0.95),1,0)</f>
        <v>0</v>
      </c>
      <c r="O388" t="str">
        <f>VLOOKUP(B388,Products!$A$2:$D$9,3,FALSE)</f>
        <v>Packaging</v>
      </c>
    </row>
    <row r="389" spans="1:15" x14ac:dyDescent="0.25">
      <c r="A389" s="15" t="s">
        <v>415</v>
      </c>
      <c r="B389" s="5" t="s">
        <v>33</v>
      </c>
      <c r="C389" s="5" t="s">
        <v>26</v>
      </c>
      <c r="D389" s="5" t="s">
        <v>18</v>
      </c>
      <c r="E389" s="6">
        <v>45571</v>
      </c>
      <c r="F389" s="21">
        <v>45578</v>
      </c>
      <c r="G389" s="21">
        <v>45588</v>
      </c>
      <c r="H389" s="5">
        <v>458</v>
      </c>
      <c r="I389" s="5">
        <v>414</v>
      </c>
      <c r="J389" s="4" t="s">
        <v>14</v>
      </c>
      <c r="K389">
        <f>Table1[[#This Row],[Delivered Qty]]/Table1[[#This Row],[Ordered Qty]]</f>
        <v>0.90393013100436681</v>
      </c>
      <c r="L389">
        <f>VLOOKUP(Table1[[#This Row],[Supplier ID]],Suppliers!$A$2:$D$6,4,FALSE)</f>
        <v>7</v>
      </c>
      <c r="M389">
        <f>Table1[[#This Row],[Actual Delivery]]-Table1[[#This Row],[Order Date]]-Table1[[#This Row],[std Lead time]]</f>
        <v>10</v>
      </c>
      <c r="N389">
        <f>IF(AND(Table1[[#This Row],[Status]] = "Delivered", Table1[[#This Row],[Actual Delivery]] &lt;= Table1[[#This Row],[Promised Delivery]],Table1[[#This Row],[FillRate]]&gt;=0.95),1,0)</f>
        <v>0</v>
      </c>
      <c r="O389" t="str">
        <f>VLOOKUP(B389,Products!$A$2:$D$9,3,FALSE)</f>
        <v>Raw Material</v>
      </c>
    </row>
    <row r="390" spans="1:15" x14ac:dyDescent="0.25">
      <c r="A390" s="14" t="s">
        <v>416</v>
      </c>
      <c r="B390" s="2" t="s">
        <v>16</v>
      </c>
      <c r="C390" s="2" t="s">
        <v>57</v>
      </c>
      <c r="D390" s="2" t="s">
        <v>13</v>
      </c>
      <c r="E390" s="3">
        <v>45592</v>
      </c>
      <c r="F390" s="20">
        <v>45613</v>
      </c>
      <c r="G390" s="20">
        <v>45611</v>
      </c>
      <c r="H390" s="2">
        <v>378</v>
      </c>
      <c r="I390" s="2">
        <v>327</v>
      </c>
      <c r="J390" s="4" t="s">
        <v>14</v>
      </c>
      <c r="K390">
        <f>Table1[[#This Row],[Delivered Qty]]/Table1[[#This Row],[Ordered Qty]]</f>
        <v>0.86507936507936511</v>
      </c>
      <c r="L390">
        <f>VLOOKUP(Table1[[#This Row],[Supplier ID]],Suppliers!$A$2:$D$6,4,FALSE)</f>
        <v>21</v>
      </c>
      <c r="M390">
        <f>Table1[[#This Row],[Actual Delivery]]-Table1[[#This Row],[Order Date]]-Table1[[#This Row],[std Lead time]]</f>
        <v>-2</v>
      </c>
      <c r="N390">
        <f>IF(AND(Table1[[#This Row],[Status]] = "Delivered", Table1[[#This Row],[Actual Delivery]] &lt;= Table1[[#This Row],[Promised Delivery]],Table1[[#This Row],[FillRate]]&gt;=0.95),1,0)</f>
        <v>0</v>
      </c>
      <c r="O390" t="str">
        <f>VLOOKUP(B390,Products!$A$2:$D$9,3,FALSE)</f>
        <v>Packaging</v>
      </c>
    </row>
    <row r="391" spans="1:15" x14ac:dyDescent="0.25">
      <c r="A391" s="15" t="s">
        <v>417</v>
      </c>
      <c r="B391" s="5" t="s">
        <v>22</v>
      </c>
      <c r="C391" s="5" t="s">
        <v>17</v>
      </c>
      <c r="D391" s="5" t="s">
        <v>23</v>
      </c>
      <c r="E391" s="6">
        <v>45593</v>
      </c>
      <c r="F391" s="21">
        <v>45599</v>
      </c>
      <c r="G391" s="21">
        <v>45597</v>
      </c>
      <c r="H391" s="5">
        <v>1810</v>
      </c>
      <c r="I391" s="5">
        <v>1755</v>
      </c>
      <c r="J391" s="4" t="s">
        <v>14</v>
      </c>
      <c r="K391">
        <f>Table1[[#This Row],[Delivered Qty]]/Table1[[#This Row],[Ordered Qty]]</f>
        <v>0.96961325966850831</v>
      </c>
      <c r="L391">
        <f>VLOOKUP(Table1[[#This Row],[Supplier ID]],Suppliers!$A$2:$D$6,4,FALSE)</f>
        <v>6</v>
      </c>
      <c r="M391">
        <f>Table1[[#This Row],[Actual Delivery]]-Table1[[#This Row],[Order Date]]-Table1[[#This Row],[std Lead time]]</f>
        <v>-2</v>
      </c>
      <c r="N391">
        <f>IF(AND(Table1[[#This Row],[Status]] = "Delivered", Table1[[#This Row],[Actual Delivery]] &lt;= Table1[[#This Row],[Promised Delivery]],Table1[[#This Row],[FillRate]]&gt;=0.95),1,0)</f>
        <v>1</v>
      </c>
      <c r="O391" t="str">
        <f>VLOOKUP(B391,Products!$A$2:$D$9,3,FALSE)</f>
        <v>Finished Goods</v>
      </c>
    </row>
    <row r="392" spans="1:15" x14ac:dyDescent="0.25">
      <c r="A392" s="14" t="s">
        <v>418</v>
      </c>
      <c r="B392" s="2" t="s">
        <v>22</v>
      </c>
      <c r="C392" s="2" t="s">
        <v>26</v>
      </c>
      <c r="D392" s="2" t="s">
        <v>18</v>
      </c>
      <c r="E392" s="3">
        <v>45570</v>
      </c>
      <c r="F392" s="20">
        <v>45577</v>
      </c>
      <c r="G392" s="20">
        <v>45577</v>
      </c>
      <c r="H392" s="2">
        <v>1753</v>
      </c>
      <c r="I392" s="2">
        <v>1746</v>
      </c>
      <c r="J392" s="4" t="s">
        <v>14</v>
      </c>
      <c r="K392">
        <f>Table1[[#This Row],[Delivered Qty]]/Table1[[#This Row],[Ordered Qty]]</f>
        <v>0.99600684540787221</v>
      </c>
      <c r="L392">
        <f>VLOOKUP(Table1[[#This Row],[Supplier ID]],Suppliers!$A$2:$D$6,4,FALSE)</f>
        <v>7</v>
      </c>
      <c r="M392">
        <f>Table1[[#This Row],[Actual Delivery]]-Table1[[#This Row],[Order Date]]-Table1[[#This Row],[std Lead time]]</f>
        <v>0</v>
      </c>
      <c r="N392">
        <f>IF(AND(Table1[[#This Row],[Status]] = "Delivered", Table1[[#This Row],[Actual Delivery]] &lt;= Table1[[#This Row],[Promised Delivery]],Table1[[#This Row],[FillRate]]&gt;=0.95),1,0)</f>
        <v>1</v>
      </c>
      <c r="O392" t="str">
        <f>VLOOKUP(B392,Products!$A$2:$D$9,3,FALSE)</f>
        <v>Finished Goods</v>
      </c>
    </row>
    <row r="393" spans="1:15" x14ac:dyDescent="0.25">
      <c r="A393" s="15" t="s">
        <v>419</v>
      </c>
      <c r="B393" s="5" t="s">
        <v>16</v>
      </c>
      <c r="C393" s="5" t="s">
        <v>26</v>
      </c>
      <c r="D393" s="5" t="s">
        <v>28</v>
      </c>
      <c r="E393" s="6">
        <v>45591</v>
      </c>
      <c r="F393" s="21">
        <v>45598</v>
      </c>
      <c r="G393" s="21">
        <v>45601</v>
      </c>
      <c r="H393" s="5">
        <v>1997</v>
      </c>
      <c r="I393" s="5">
        <v>1738</v>
      </c>
      <c r="J393" s="4" t="s">
        <v>14</v>
      </c>
      <c r="K393">
        <f>Table1[[#This Row],[Delivered Qty]]/Table1[[#This Row],[Ordered Qty]]</f>
        <v>0.87030545818728089</v>
      </c>
      <c r="L393">
        <f>VLOOKUP(Table1[[#This Row],[Supplier ID]],Suppliers!$A$2:$D$6,4,FALSE)</f>
        <v>7</v>
      </c>
      <c r="M393">
        <f>Table1[[#This Row],[Actual Delivery]]-Table1[[#This Row],[Order Date]]-Table1[[#This Row],[std Lead time]]</f>
        <v>3</v>
      </c>
      <c r="N393">
        <f>IF(AND(Table1[[#This Row],[Status]] = "Delivered", Table1[[#This Row],[Actual Delivery]] &lt;= Table1[[#This Row],[Promised Delivery]],Table1[[#This Row],[FillRate]]&gt;=0.95),1,0)</f>
        <v>0</v>
      </c>
      <c r="O393" t="str">
        <f>VLOOKUP(B393,Products!$A$2:$D$9,3,FALSE)</f>
        <v>Packaging</v>
      </c>
    </row>
    <row r="394" spans="1:15" x14ac:dyDescent="0.25">
      <c r="A394" s="14" t="s">
        <v>420</v>
      </c>
      <c r="B394" s="2" t="s">
        <v>22</v>
      </c>
      <c r="C394" s="2" t="s">
        <v>57</v>
      </c>
      <c r="D394" s="2" t="s">
        <v>18</v>
      </c>
      <c r="E394" s="3">
        <v>45567</v>
      </c>
      <c r="F394" s="20">
        <v>45588</v>
      </c>
      <c r="G394" s="20">
        <v>45588</v>
      </c>
      <c r="H394" s="2">
        <v>1620</v>
      </c>
      <c r="I394" s="2">
        <v>1523</v>
      </c>
      <c r="J394" s="4" t="s">
        <v>14</v>
      </c>
      <c r="K394">
        <f>Table1[[#This Row],[Delivered Qty]]/Table1[[#This Row],[Ordered Qty]]</f>
        <v>0.94012345679012344</v>
      </c>
      <c r="L394">
        <f>VLOOKUP(Table1[[#This Row],[Supplier ID]],Suppliers!$A$2:$D$6,4,FALSE)</f>
        <v>21</v>
      </c>
      <c r="M394">
        <f>Table1[[#This Row],[Actual Delivery]]-Table1[[#This Row],[Order Date]]-Table1[[#This Row],[std Lead time]]</f>
        <v>0</v>
      </c>
      <c r="N394">
        <f>IF(AND(Table1[[#This Row],[Status]] = "Delivered", Table1[[#This Row],[Actual Delivery]] &lt;= Table1[[#This Row],[Promised Delivery]],Table1[[#This Row],[FillRate]]&gt;=0.95),1,0)</f>
        <v>0</v>
      </c>
      <c r="O394" t="str">
        <f>VLOOKUP(B394,Products!$A$2:$D$9,3,FALSE)</f>
        <v>Finished Goods</v>
      </c>
    </row>
    <row r="395" spans="1:15" x14ac:dyDescent="0.25">
      <c r="A395" s="15" t="s">
        <v>421</v>
      </c>
      <c r="B395" s="5" t="s">
        <v>22</v>
      </c>
      <c r="C395" s="5" t="s">
        <v>12</v>
      </c>
      <c r="D395" s="5" t="s">
        <v>13</v>
      </c>
      <c r="E395" s="6">
        <v>45567</v>
      </c>
      <c r="F395" s="21">
        <v>45585</v>
      </c>
      <c r="G395" s="21">
        <v>45584</v>
      </c>
      <c r="H395" s="5">
        <v>836</v>
      </c>
      <c r="I395" s="5">
        <v>775</v>
      </c>
      <c r="J395" s="4" t="s">
        <v>14</v>
      </c>
      <c r="K395">
        <f>Table1[[#This Row],[Delivered Qty]]/Table1[[#This Row],[Ordered Qty]]</f>
        <v>0.92703349282296654</v>
      </c>
      <c r="L395">
        <f>VLOOKUP(Table1[[#This Row],[Supplier ID]],Suppliers!$A$2:$D$6,4,FALSE)</f>
        <v>18</v>
      </c>
      <c r="M395">
        <f>Table1[[#This Row],[Actual Delivery]]-Table1[[#This Row],[Order Date]]-Table1[[#This Row],[std Lead time]]</f>
        <v>-1</v>
      </c>
      <c r="N395">
        <f>IF(AND(Table1[[#This Row],[Status]] = "Delivered", Table1[[#This Row],[Actual Delivery]] &lt;= Table1[[#This Row],[Promised Delivery]],Table1[[#This Row],[FillRate]]&gt;=0.95),1,0)</f>
        <v>0</v>
      </c>
      <c r="O395" t="str">
        <f>VLOOKUP(B395,Products!$A$2:$D$9,3,FALSE)</f>
        <v>Finished Goods</v>
      </c>
    </row>
    <row r="396" spans="1:15" x14ac:dyDescent="0.25">
      <c r="A396" s="14" t="s">
        <v>422</v>
      </c>
      <c r="B396" s="2" t="s">
        <v>44</v>
      </c>
      <c r="C396" s="2" t="s">
        <v>26</v>
      </c>
      <c r="D396" s="2" t="s">
        <v>13</v>
      </c>
      <c r="E396" s="3">
        <v>45570</v>
      </c>
      <c r="F396" s="20">
        <v>45577</v>
      </c>
      <c r="G396" s="20">
        <v>45591</v>
      </c>
      <c r="H396" s="2">
        <v>1785</v>
      </c>
      <c r="I396" s="2">
        <v>1753</v>
      </c>
      <c r="J396" s="4" t="s">
        <v>14</v>
      </c>
      <c r="K396">
        <f>Table1[[#This Row],[Delivered Qty]]/Table1[[#This Row],[Ordered Qty]]</f>
        <v>0.98207282913165261</v>
      </c>
      <c r="L396">
        <f>VLOOKUP(Table1[[#This Row],[Supplier ID]],Suppliers!$A$2:$D$6,4,FALSE)</f>
        <v>7</v>
      </c>
      <c r="M396">
        <f>Table1[[#This Row],[Actual Delivery]]-Table1[[#This Row],[Order Date]]-Table1[[#This Row],[std Lead time]]</f>
        <v>14</v>
      </c>
      <c r="N396">
        <f>IF(AND(Table1[[#This Row],[Status]] = "Delivered", Table1[[#This Row],[Actual Delivery]] &lt;= Table1[[#This Row],[Promised Delivery]],Table1[[#This Row],[FillRate]]&gt;=0.95),1,0)</f>
        <v>0</v>
      </c>
      <c r="O396" t="str">
        <f>VLOOKUP(B396,Products!$A$2:$D$9,3,FALSE)</f>
        <v>Finished Goods</v>
      </c>
    </row>
    <row r="397" spans="1:15" x14ac:dyDescent="0.25">
      <c r="A397" s="15" t="s">
        <v>423</v>
      </c>
      <c r="B397" s="5" t="s">
        <v>37</v>
      </c>
      <c r="C397" s="5" t="s">
        <v>57</v>
      </c>
      <c r="D397" s="5" t="s">
        <v>28</v>
      </c>
      <c r="E397" s="6">
        <v>45572</v>
      </c>
      <c r="F397" s="21">
        <v>45593</v>
      </c>
      <c r="G397" s="21">
        <v>45592</v>
      </c>
      <c r="H397" s="5">
        <v>1755</v>
      </c>
      <c r="I397" s="5">
        <v>1670</v>
      </c>
      <c r="J397" s="4" t="s">
        <v>14</v>
      </c>
      <c r="K397">
        <f>Table1[[#This Row],[Delivered Qty]]/Table1[[#This Row],[Ordered Qty]]</f>
        <v>0.95156695156695159</v>
      </c>
      <c r="L397">
        <f>VLOOKUP(Table1[[#This Row],[Supplier ID]],Suppliers!$A$2:$D$6,4,FALSE)</f>
        <v>21</v>
      </c>
      <c r="M397">
        <f>Table1[[#This Row],[Actual Delivery]]-Table1[[#This Row],[Order Date]]-Table1[[#This Row],[std Lead time]]</f>
        <v>-1</v>
      </c>
      <c r="N397">
        <f>IF(AND(Table1[[#This Row],[Status]] = "Delivered", Table1[[#This Row],[Actual Delivery]] &lt;= Table1[[#This Row],[Promised Delivery]],Table1[[#This Row],[FillRate]]&gt;=0.95),1,0)</f>
        <v>1</v>
      </c>
      <c r="O397" t="str">
        <f>VLOOKUP(B397,Products!$A$2:$D$9,3,FALSE)</f>
        <v>Raw Material</v>
      </c>
    </row>
    <row r="398" spans="1:15" x14ac:dyDescent="0.25">
      <c r="A398" s="14" t="s">
        <v>424</v>
      </c>
      <c r="B398" s="2" t="s">
        <v>30</v>
      </c>
      <c r="C398" s="2" t="s">
        <v>26</v>
      </c>
      <c r="D398" s="2" t="s">
        <v>13</v>
      </c>
      <c r="E398" s="3">
        <v>45568</v>
      </c>
      <c r="F398" s="20">
        <v>45575</v>
      </c>
      <c r="G398" s="20">
        <v>45579</v>
      </c>
      <c r="H398" s="2">
        <v>477</v>
      </c>
      <c r="I398" s="2">
        <v>466</v>
      </c>
      <c r="J398" s="4" t="s">
        <v>14</v>
      </c>
      <c r="K398">
        <f>Table1[[#This Row],[Delivered Qty]]/Table1[[#This Row],[Ordered Qty]]</f>
        <v>0.97693920335429774</v>
      </c>
      <c r="L398">
        <f>VLOOKUP(Table1[[#This Row],[Supplier ID]],Suppliers!$A$2:$D$6,4,FALSE)</f>
        <v>7</v>
      </c>
      <c r="M398">
        <f>Table1[[#This Row],[Actual Delivery]]-Table1[[#This Row],[Order Date]]-Table1[[#This Row],[std Lead time]]</f>
        <v>4</v>
      </c>
      <c r="N398">
        <f>IF(AND(Table1[[#This Row],[Status]] = "Delivered", Table1[[#This Row],[Actual Delivery]] &lt;= Table1[[#This Row],[Promised Delivery]],Table1[[#This Row],[FillRate]]&gt;=0.95),1,0)</f>
        <v>0</v>
      </c>
      <c r="O398" t="str">
        <f>VLOOKUP(B398,Products!$A$2:$D$9,3,FALSE)</f>
        <v>Finished Goods</v>
      </c>
    </row>
    <row r="399" spans="1:15" x14ac:dyDescent="0.25">
      <c r="A399" s="15" t="s">
        <v>425</v>
      </c>
      <c r="B399" s="5" t="s">
        <v>11</v>
      </c>
      <c r="C399" s="5" t="s">
        <v>31</v>
      </c>
      <c r="D399" s="5" t="s">
        <v>13</v>
      </c>
      <c r="E399" s="6">
        <v>45592</v>
      </c>
      <c r="F399" s="21">
        <v>45597</v>
      </c>
      <c r="G399" s="21">
        <v>45599</v>
      </c>
      <c r="H399" s="5">
        <v>267</v>
      </c>
      <c r="I399" s="5">
        <v>235</v>
      </c>
      <c r="J399" s="4" t="s">
        <v>14</v>
      </c>
      <c r="K399">
        <f>Table1[[#This Row],[Delivered Qty]]/Table1[[#This Row],[Ordered Qty]]</f>
        <v>0.88014981273408244</v>
      </c>
      <c r="L399">
        <f>VLOOKUP(Table1[[#This Row],[Supplier ID]],Suppliers!$A$2:$D$6,4,FALSE)</f>
        <v>5</v>
      </c>
      <c r="M399">
        <f>Table1[[#This Row],[Actual Delivery]]-Table1[[#This Row],[Order Date]]-Table1[[#This Row],[std Lead time]]</f>
        <v>2</v>
      </c>
      <c r="N399">
        <f>IF(AND(Table1[[#This Row],[Status]] = "Delivered", Table1[[#This Row],[Actual Delivery]] &lt;= Table1[[#This Row],[Promised Delivery]],Table1[[#This Row],[FillRate]]&gt;=0.95),1,0)</f>
        <v>0</v>
      </c>
      <c r="O399" t="str">
        <f>VLOOKUP(B399,Products!$A$2:$D$9,3,FALSE)</f>
        <v>Packaging</v>
      </c>
    </row>
    <row r="400" spans="1:15" x14ac:dyDescent="0.25">
      <c r="A400" s="14" t="s">
        <v>426</v>
      </c>
      <c r="B400" s="2" t="s">
        <v>30</v>
      </c>
      <c r="C400" s="2" t="s">
        <v>31</v>
      </c>
      <c r="D400" s="2" t="s">
        <v>23</v>
      </c>
      <c r="E400" s="3">
        <v>45577</v>
      </c>
      <c r="F400" s="20">
        <v>45582</v>
      </c>
      <c r="G400" s="20">
        <v>45582</v>
      </c>
      <c r="H400" s="2">
        <v>453</v>
      </c>
      <c r="I400" s="2">
        <v>438</v>
      </c>
      <c r="J400" s="4" t="s">
        <v>14</v>
      </c>
      <c r="K400">
        <f>Table1[[#This Row],[Delivered Qty]]/Table1[[#This Row],[Ordered Qty]]</f>
        <v>0.9668874172185431</v>
      </c>
      <c r="L400">
        <f>VLOOKUP(Table1[[#This Row],[Supplier ID]],Suppliers!$A$2:$D$6,4,FALSE)</f>
        <v>5</v>
      </c>
      <c r="M400">
        <f>Table1[[#This Row],[Actual Delivery]]-Table1[[#This Row],[Order Date]]-Table1[[#This Row],[std Lead time]]</f>
        <v>0</v>
      </c>
      <c r="N400">
        <f>IF(AND(Table1[[#This Row],[Status]] = "Delivered", Table1[[#This Row],[Actual Delivery]] &lt;= Table1[[#This Row],[Promised Delivery]],Table1[[#This Row],[FillRate]]&gt;=0.95),1,0)</f>
        <v>1</v>
      </c>
      <c r="O400" t="str">
        <f>VLOOKUP(B400,Products!$A$2:$D$9,3,FALSE)</f>
        <v>Finished Goods</v>
      </c>
    </row>
    <row r="401" spans="1:15" x14ac:dyDescent="0.25">
      <c r="A401" s="15" t="s">
        <v>427</v>
      </c>
      <c r="B401" s="5" t="s">
        <v>20</v>
      </c>
      <c r="C401" s="5" t="s">
        <v>12</v>
      </c>
      <c r="D401" s="5" t="s">
        <v>18</v>
      </c>
      <c r="E401" s="6">
        <v>45585</v>
      </c>
      <c r="F401" s="21">
        <v>45603</v>
      </c>
      <c r="G401" s="21">
        <v>45603</v>
      </c>
      <c r="H401" s="5">
        <v>916</v>
      </c>
      <c r="I401" s="5">
        <v>855</v>
      </c>
      <c r="J401" s="4" t="s">
        <v>14</v>
      </c>
      <c r="K401">
        <f>Table1[[#This Row],[Delivered Qty]]/Table1[[#This Row],[Ordered Qty]]</f>
        <v>0.93340611353711789</v>
      </c>
      <c r="L401">
        <f>VLOOKUP(Table1[[#This Row],[Supplier ID]],Suppliers!$A$2:$D$6,4,FALSE)</f>
        <v>18</v>
      </c>
      <c r="M401">
        <f>Table1[[#This Row],[Actual Delivery]]-Table1[[#This Row],[Order Date]]-Table1[[#This Row],[std Lead time]]</f>
        <v>0</v>
      </c>
      <c r="N401">
        <f>IF(AND(Table1[[#This Row],[Status]] = "Delivered", Table1[[#This Row],[Actual Delivery]] &lt;= Table1[[#This Row],[Promised Delivery]],Table1[[#This Row],[FillRate]]&gt;=0.95),1,0)</f>
        <v>0</v>
      </c>
      <c r="O401" t="str">
        <f>VLOOKUP(B401,Products!$A$2:$D$9,3,FALSE)</f>
        <v>Raw Material</v>
      </c>
    </row>
    <row r="402" spans="1:15" x14ac:dyDescent="0.25">
      <c r="A402" s="14" t="s">
        <v>428</v>
      </c>
      <c r="B402" s="2" t="s">
        <v>37</v>
      </c>
      <c r="C402" s="2" t="s">
        <v>26</v>
      </c>
      <c r="D402" s="2" t="s">
        <v>23</v>
      </c>
      <c r="E402" s="3">
        <v>45566</v>
      </c>
      <c r="F402" s="20">
        <v>45573</v>
      </c>
      <c r="G402" s="20">
        <v>45573</v>
      </c>
      <c r="H402" s="2">
        <v>1797</v>
      </c>
      <c r="I402" s="2">
        <v>1790</v>
      </c>
      <c r="J402" s="4" t="s">
        <v>14</v>
      </c>
      <c r="K402">
        <f>Table1[[#This Row],[Delivered Qty]]/Table1[[#This Row],[Ordered Qty]]</f>
        <v>0.99610461880912637</v>
      </c>
      <c r="L402">
        <f>VLOOKUP(Table1[[#This Row],[Supplier ID]],Suppliers!$A$2:$D$6,4,FALSE)</f>
        <v>7</v>
      </c>
      <c r="M402">
        <f>Table1[[#This Row],[Actual Delivery]]-Table1[[#This Row],[Order Date]]-Table1[[#This Row],[std Lead time]]</f>
        <v>0</v>
      </c>
      <c r="N402">
        <f>IF(AND(Table1[[#This Row],[Status]] = "Delivered", Table1[[#This Row],[Actual Delivery]] &lt;= Table1[[#This Row],[Promised Delivery]],Table1[[#This Row],[FillRate]]&gt;=0.95),1,0)</f>
        <v>1</v>
      </c>
      <c r="O402" t="str">
        <f>VLOOKUP(B402,Products!$A$2:$D$9,3,FALSE)</f>
        <v>Raw Material</v>
      </c>
    </row>
    <row r="403" spans="1:15" x14ac:dyDescent="0.25">
      <c r="A403" s="15" t="s">
        <v>429</v>
      </c>
      <c r="B403" s="5" t="s">
        <v>20</v>
      </c>
      <c r="C403" s="5" t="s">
        <v>31</v>
      </c>
      <c r="D403" s="5" t="s">
        <v>13</v>
      </c>
      <c r="E403" s="6">
        <v>45574</v>
      </c>
      <c r="F403" s="21">
        <v>45579</v>
      </c>
      <c r="G403" s="21">
        <v>45579</v>
      </c>
      <c r="H403" s="5">
        <v>218</v>
      </c>
      <c r="I403" s="5">
        <v>206</v>
      </c>
      <c r="J403" s="4" t="s">
        <v>14</v>
      </c>
      <c r="K403">
        <f>Table1[[#This Row],[Delivered Qty]]/Table1[[#This Row],[Ordered Qty]]</f>
        <v>0.94495412844036697</v>
      </c>
      <c r="L403">
        <f>VLOOKUP(Table1[[#This Row],[Supplier ID]],Suppliers!$A$2:$D$6,4,FALSE)</f>
        <v>5</v>
      </c>
      <c r="M403">
        <f>Table1[[#This Row],[Actual Delivery]]-Table1[[#This Row],[Order Date]]-Table1[[#This Row],[std Lead time]]</f>
        <v>0</v>
      </c>
      <c r="N403">
        <f>IF(AND(Table1[[#This Row],[Status]] = "Delivered", Table1[[#This Row],[Actual Delivery]] &lt;= Table1[[#This Row],[Promised Delivery]],Table1[[#This Row],[FillRate]]&gt;=0.95),1,0)</f>
        <v>0</v>
      </c>
      <c r="O403" t="str">
        <f>VLOOKUP(B403,Products!$A$2:$D$9,3,FALSE)</f>
        <v>Raw Material</v>
      </c>
    </row>
    <row r="404" spans="1:15" x14ac:dyDescent="0.25">
      <c r="A404" s="14" t="s">
        <v>430</v>
      </c>
      <c r="B404" s="2" t="s">
        <v>33</v>
      </c>
      <c r="C404" s="2" t="s">
        <v>31</v>
      </c>
      <c r="D404" s="2" t="s">
        <v>28</v>
      </c>
      <c r="E404" s="3">
        <v>45573</v>
      </c>
      <c r="F404" s="20">
        <v>45578</v>
      </c>
      <c r="G404" s="20">
        <v>45577</v>
      </c>
      <c r="H404" s="2">
        <v>1659</v>
      </c>
      <c r="I404" s="2">
        <v>1653</v>
      </c>
      <c r="J404" s="4" t="s">
        <v>14</v>
      </c>
      <c r="K404">
        <f>Table1[[#This Row],[Delivered Qty]]/Table1[[#This Row],[Ordered Qty]]</f>
        <v>0.9963833634719711</v>
      </c>
      <c r="L404">
        <f>VLOOKUP(Table1[[#This Row],[Supplier ID]],Suppliers!$A$2:$D$6,4,FALSE)</f>
        <v>5</v>
      </c>
      <c r="M404">
        <f>Table1[[#This Row],[Actual Delivery]]-Table1[[#This Row],[Order Date]]-Table1[[#This Row],[std Lead time]]</f>
        <v>-1</v>
      </c>
      <c r="N404">
        <f>IF(AND(Table1[[#This Row],[Status]] = "Delivered", Table1[[#This Row],[Actual Delivery]] &lt;= Table1[[#This Row],[Promised Delivery]],Table1[[#This Row],[FillRate]]&gt;=0.95),1,0)</f>
        <v>1</v>
      </c>
      <c r="O404" t="str">
        <f>VLOOKUP(B404,Products!$A$2:$D$9,3,FALSE)</f>
        <v>Raw Material</v>
      </c>
    </row>
    <row r="405" spans="1:15" x14ac:dyDescent="0.25">
      <c r="A405" s="15" t="s">
        <v>431</v>
      </c>
      <c r="B405" s="5" t="s">
        <v>37</v>
      </c>
      <c r="C405" s="5" t="s">
        <v>57</v>
      </c>
      <c r="D405" s="5" t="s">
        <v>18</v>
      </c>
      <c r="E405" s="6">
        <v>45593</v>
      </c>
      <c r="F405" s="21">
        <v>45614</v>
      </c>
      <c r="G405" s="21">
        <v>45614</v>
      </c>
      <c r="H405" s="5">
        <v>1266</v>
      </c>
      <c r="I405" s="5">
        <v>1243</v>
      </c>
      <c r="J405" s="4" t="s">
        <v>14</v>
      </c>
      <c r="K405">
        <f>Table1[[#This Row],[Delivered Qty]]/Table1[[#This Row],[Ordered Qty]]</f>
        <v>0.9818325434439179</v>
      </c>
      <c r="L405">
        <f>VLOOKUP(Table1[[#This Row],[Supplier ID]],Suppliers!$A$2:$D$6,4,FALSE)</f>
        <v>21</v>
      </c>
      <c r="M405">
        <f>Table1[[#This Row],[Actual Delivery]]-Table1[[#This Row],[Order Date]]-Table1[[#This Row],[std Lead time]]</f>
        <v>0</v>
      </c>
      <c r="N405">
        <f>IF(AND(Table1[[#This Row],[Status]] = "Delivered", Table1[[#This Row],[Actual Delivery]] &lt;= Table1[[#This Row],[Promised Delivery]],Table1[[#This Row],[FillRate]]&gt;=0.95),1,0)</f>
        <v>1</v>
      </c>
      <c r="O405" t="str">
        <f>VLOOKUP(B405,Products!$A$2:$D$9,3,FALSE)</f>
        <v>Raw Material</v>
      </c>
    </row>
    <row r="406" spans="1:15" x14ac:dyDescent="0.25">
      <c r="A406" s="14" t="s">
        <v>432</v>
      </c>
      <c r="B406" s="2" t="s">
        <v>22</v>
      </c>
      <c r="C406" s="2" t="s">
        <v>17</v>
      </c>
      <c r="D406" s="2" t="s">
        <v>28</v>
      </c>
      <c r="E406" s="3">
        <v>45566</v>
      </c>
      <c r="F406" s="20">
        <v>45572</v>
      </c>
      <c r="G406" s="20">
        <v>45572</v>
      </c>
      <c r="H406" s="2">
        <v>1447</v>
      </c>
      <c r="I406" s="2">
        <v>1343</v>
      </c>
      <c r="J406" s="4" t="s">
        <v>14</v>
      </c>
      <c r="K406">
        <f>Table1[[#This Row],[Delivered Qty]]/Table1[[#This Row],[Ordered Qty]]</f>
        <v>0.92812715964063575</v>
      </c>
      <c r="L406">
        <f>VLOOKUP(Table1[[#This Row],[Supplier ID]],Suppliers!$A$2:$D$6,4,FALSE)</f>
        <v>6</v>
      </c>
      <c r="M406">
        <f>Table1[[#This Row],[Actual Delivery]]-Table1[[#This Row],[Order Date]]-Table1[[#This Row],[std Lead time]]</f>
        <v>0</v>
      </c>
      <c r="N406">
        <f>IF(AND(Table1[[#This Row],[Status]] = "Delivered", Table1[[#This Row],[Actual Delivery]] &lt;= Table1[[#This Row],[Promised Delivery]],Table1[[#This Row],[FillRate]]&gt;=0.95),1,0)</f>
        <v>0</v>
      </c>
      <c r="O406" t="str">
        <f>VLOOKUP(B406,Products!$A$2:$D$9,3,FALSE)</f>
        <v>Finished Goods</v>
      </c>
    </row>
    <row r="407" spans="1:15" x14ac:dyDescent="0.25">
      <c r="A407" s="15" t="s">
        <v>433</v>
      </c>
      <c r="B407" s="5" t="s">
        <v>16</v>
      </c>
      <c r="C407" s="5" t="s">
        <v>57</v>
      </c>
      <c r="D407" s="5" t="s">
        <v>28</v>
      </c>
      <c r="E407" s="6">
        <v>45576</v>
      </c>
      <c r="F407" s="21">
        <v>45597</v>
      </c>
      <c r="G407" s="21">
        <v>45597</v>
      </c>
      <c r="H407" s="5">
        <v>1534</v>
      </c>
      <c r="I407" s="5">
        <v>1297</v>
      </c>
      <c r="J407" s="4" t="s">
        <v>14</v>
      </c>
      <c r="K407">
        <f>Table1[[#This Row],[Delivered Qty]]/Table1[[#This Row],[Ordered Qty]]</f>
        <v>0.84550195567144715</v>
      </c>
      <c r="L407">
        <f>VLOOKUP(Table1[[#This Row],[Supplier ID]],Suppliers!$A$2:$D$6,4,FALSE)</f>
        <v>21</v>
      </c>
      <c r="M407">
        <f>Table1[[#This Row],[Actual Delivery]]-Table1[[#This Row],[Order Date]]-Table1[[#This Row],[std Lead time]]</f>
        <v>0</v>
      </c>
      <c r="N407">
        <f>IF(AND(Table1[[#This Row],[Status]] = "Delivered", Table1[[#This Row],[Actual Delivery]] &lt;= Table1[[#This Row],[Promised Delivery]],Table1[[#This Row],[FillRate]]&gt;=0.95),1,0)</f>
        <v>0</v>
      </c>
      <c r="O407" t="str">
        <f>VLOOKUP(B407,Products!$A$2:$D$9,3,FALSE)</f>
        <v>Packaging</v>
      </c>
    </row>
    <row r="408" spans="1:15" x14ac:dyDescent="0.25">
      <c r="A408" s="14" t="s">
        <v>434</v>
      </c>
      <c r="B408" s="2" t="s">
        <v>33</v>
      </c>
      <c r="C408" s="2" t="s">
        <v>17</v>
      </c>
      <c r="D408" s="2" t="s">
        <v>13</v>
      </c>
      <c r="E408" s="3">
        <v>45567</v>
      </c>
      <c r="F408" s="20">
        <v>45573</v>
      </c>
      <c r="G408" s="20">
        <v>45573</v>
      </c>
      <c r="H408" s="2">
        <v>486</v>
      </c>
      <c r="I408" s="2">
        <v>472</v>
      </c>
      <c r="J408" s="4" t="s">
        <v>14</v>
      </c>
      <c r="K408">
        <f>Table1[[#This Row],[Delivered Qty]]/Table1[[#This Row],[Ordered Qty]]</f>
        <v>0.9711934156378601</v>
      </c>
      <c r="L408">
        <f>VLOOKUP(Table1[[#This Row],[Supplier ID]],Suppliers!$A$2:$D$6,4,FALSE)</f>
        <v>6</v>
      </c>
      <c r="M408">
        <f>Table1[[#This Row],[Actual Delivery]]-Table1[[#This Row],[Order Date]]-Table1[[#This Row],[std Lead time]]</f>
        <v>0</v>
      </c>
      <c r="N408">
        <f>IF(AND(Table1[[#This Row],[Status]] = "Delivered", Table1[[#This Row],[Actual Delivery]] &lt;= Table1[[#This Row],[Promised Delivery]],Table1[[#This Row],[FillRate]]&gt;=0.95),1,0)</f>
        <v>1</v>
      </c>
      <c r="O408" t="str">
        <f>VLOOKUP(B408,Products!$A$2:$D$9,3,FALSE)</f>
        <v>Raw Material</v>
      </c>
    </row>
    <row r="409" spans="1:15" x14ac:dyDescent="0.25">
      <c r="A409" s="15" t="s">
        <v>435</v>
      </c>
      <c r="B409" s="5" t="s">
        <v>44</v>
      </c>
      <c r="C409" s="5" t="s">
        <v>12</v>
      </c>
      <c r="D409" s="5" t="s">
        <v>23</v>
      </c>
      <c r="E409" s="6">
        <v>45579</v>
      </c>
      <c r="F409" s="21">
        <v>45597</v>
      </c>
      <c r="G409" s="21">
        <v>45597</v>
      </c>
      <c r="H409" s="5">
        <v>1871</v>
      </c>
      <c r="I409" s="5">
        <v>1719</v>
      </c>
      <c r="J409" s="4" t="s">
        <v>14</v>
      </c>
      <c r="K409">
        <f>Table1[[#This Row],[Delivered Qty]]/Table1[[#This Row],[Ordered Qty]]</f>
        <v>0.91876002137894175</v>
      </c>
      <c r="L409">
        <f>VLOOKUP(Table1[[#This Row],[Supplier ID]],Suppliers!$A$2:$D$6,4,FALSE)</f>
        <v>18</v>
      </c>
      <c r="M409">
        <f>Table1[[#This Row],[Actual Delivery]]-Table1[[#This Row],[Order Date]]-Table1[[#This Row],[std Lead time]]</f>
        <v>0</v>
      </c>
      <c r="N409">
        <f>IF(AND(Table1[[#This Row],[Status]] = "Delivered", Table1[[#This Row],[Actual Delivery]] &lt;= Table1[[#This Row],[Promised Delivery]],Table1[[#This Row],[FillRate]]&gt;=0.95),1,0)</f>
        <v>0</v>
      </c>
      <c r="O409" t="str">
        <f>VLOOKUP(B409,Products!$A$2:$D$9,3,FALSE)</f>
        <v>Finished Goods</v>
      </c>
    </row>
    <row r="410" spans="1:15" x14ac:dyDescent="0.25">
      <c r="A410" s="14" t="s">
        <v>436</v>
      </c>
      <c r="B410" s="2" t="s">
        <v>20</v>
      </c>
      <c r="C410" s="2" t="s">
        <v>17</v>
      </c>
      <c r="D410" s="2" t="s">
        <v>18</v>
      </c>
      <c r="E410" s="3">
        <v>45587</v>
      </c>
      <c r="F410" s="20">
        <v>45593</v>
      </c>
      <c r="G410" s="20">
        <v>45591</v>
      </c>
      <c r="H410" s="2">
        <v>1921</v>
      </c>
      <c r="I410" s="2">
        <v>1855</v>
      </c>
      <c r="J410" s="4" t="s">
        <v>14</v>
      </c>
      <c r="K410">
        <f>Table1[[#This Row],[Delivered Qty]]/Table1[[#This Row],[Ordered Qty]]</f>
        <v>0.96564289432587191</v>
      </c>
      <c r="L410">
        <f>VLOOKUP(Table1[[#This Row],[Supplier ID]],Suppliers!$A$2:$D$6,4,FALSE)</f>
        <v>6</v>
      </c>
      <c r="M410">
        <f>Table1[[#This Row],[Actual Delivery]]-Table1[[#This Row],[Order Date]]-Table1[[#This Row],[std Lead time]]</f>
        <v>-2</v>
      </c>
      <c r="N410">
        <f>IF(AND(Table1[[#This Row],[Status]] = "Delivered", Table1[[#This Row],[Actual Delivery]] &lt;= Table1[[#This Row],[Promised Delivery]],Table1[[#This Row],[FillRate]]&gt;=0.95),1,0)</f>
        <v>1</v>
      </c>
      <c r="O410" t="str">
        <f>VLOOKUP(B410,Products!$A$2:$D$9,3,FALSE)</f>
        <v>Raw Material</v>
      </c>
    </row>
    <row r="411" spans="1:15" x14ac:dyDescent="0.25">
      <c r="A411" s="15" t="s">
        <v>437</v>
      </c>
      <c r="B411" s="5" t="s">
        <v>33</v>
      </c>
      <c r="C411" s="5" t="s">
        <v>12</v>
      </c>
      <c r="D411" s="5" t="s">
        <v>28</v>
      </c>
      <c r="E411" s="6">
        <v>45581</v>
      </c>
      <c r="F411" s="21">
        <v>45599</v>
      </c>
      <c r="G411" s="21">
        <v>45597</v>
      </c>
      <c r="H411" s="5">
        <v>1592</v>
      </c>
      <c r="I411" s="5">
        <v>1576</v>
      </c>
      <c r="J411" s="4" t="s">
        <v>14</v>
      </c>
      <c r="K411">
        <f>Table1[[#This Row],[Delivered Qty]]/Table1[[#This Row],[Ordered Qty]]</f>
        <v>0.98994974874371855</v>
      </c>
      <c r="L411">
        <f>VLOOKUP(Table1[[#This Row],[Supplier ID]],Suppliers!$A$2:$D$6,4,FALSE)</f>
        <v>18</v>
      </c>
      <c r="M411">
        <f>Table1[[#This Row],[Actual Delivery]]-Table1[[#This Row],[Order Date]]-Table1[[#This Row],[std Lead time]]</f>
        <v>-2</v>
      </c>
      <c r="N411">
        <f>IF(AND(Table1[[#This Row],[Status]] = "Delivered", Table1[[#This Row],[Actual Delivery]] &lt;= Table1[[#This Row],[Promised Delivery]],Table1[[#This Row],[FillRate]]&gt;=0.95),1,0)</f>
        <v>1</v>
      </c>
      <c r="O411" t="str">
        <f>VLOOKUP(B411,Products!$A$2:$D$9,3,FALSE)</f>
        <v>Raw Material</v>
      </c>
    </row>
    <row r="412" spans="1:15" x14ac:dyDescent="0.25">
      <c r="A412" s="14" t="s">
        <v>438</v>
      </c>
      <c r="B412" s="2" t="s">
        <v>16</v>
      </c>
      <c r="C412" s="2" t="s">
        <v>31</v>
      </c>
      <c r="D412" s="2" t="s">
        <v>23</v>
      </c>
      <c r="E412" s="3">
        <v>45573</v>
      </c>
      <c r="F412" s="20">
        <v>45578</v>
      </c>
      <c r="G412" s="20">
        <v>45577</v>
      </c>
      <c r="H412" s="2">
        <v>961</v>
      </c>
      <c r="I412" s="2">
        <v>804</v>
      </c>
      <c r="J412" s="4" t="s">
        <v>14</v>
      </c>
      <c r="K412">
        <f>Table1[[#This Row],[Delivered Qty]]/Table1[[#This Row],[Ordered Qty]]</f>
        <v>0.8366285119667014</v>
      </c>
      <c r="L412">
        <f>VLOOKUP(Table1[[#This Row],[Supplier ID]],Suppliers!$A$2:$D$6,4,FALSE)</f>
        <v>5</v>
      </c>
      <c r="M412">
        <f>Table1[[#This Row],[Actual Delivery]]-Table1[[#This Row],[Order Date]]-Table1[[#This Row],[std Lead time]]</f>
        <v>-1</v>
      </c>
      <c r="N412">
        <f>IF(AND(Table1[[#This Row],[Status]] = "Delivered", Table1[[#This Row],[Actual Delivery]] &lt;= Table1[[#This Row],[Promised Delivery]],Table1[[#This Row],[FillRate]]&gt;=0.95),1,0)</f>
        <v>0</v>
      </c>
      <c r="O412" t="str">
        <f>VLOOKUP(B412,Products!$A$2:$D$9,3,FALSE)</f>
        <v>Packaging</v>
      </c>
    </row>
    <row r="413" spans="1:15" x14ac:dyDescent="0.25">
      <c r="A413" s="15" t="s">
        <v>439</v>
      </c>
      <c r="B413" s="5" t="s">
        <v>37</v>
      </c>
      <c r="C413" s="5" t="s">
        <v>57</v>
      </c>
      <c r="D413" s="5" t="s">
        <v>28</v>
      </c>
      <c r="E413" s="6">
        <v>45581</v>
      </c>
      <c r="F413" s="21">
        <v>45602</v>
      </c>
      <c r="G413" s="21">
        <v>45600</v>
      </c>
      <c r="H413" s="5">
        <v>1976</v>
      </c>
      <c r="I413" s="5">
        <v>1912</v>
      </c>
      <c r="J413" s="4" t="s">
        <v>14</v>
      </c>
      <c r="K413">
        <f>Table1[[#This Row],[Delivered Qty]]/Table1[[#This Row],[Ordered Qty]]</f>
        <v>0.96761133603238869</v>
      </c>
      <c r="L413">
        <f>VLOOKUP(Table1[[#This Row],[Supplier ID]],Suppliers!$A$2:$D$6,4,FALSE)</f>
        <v>21</v>
      </c>
      <c r="M413">
        <f>Table1[[#This Row],[Actual Delivery]]-Table1[[#This Row],[Order Date]]-Table1[[#This Row],[std Lead time]]</f>
        <v>-2</v>
      </c>
      <c r="N413">
        <f>IF(AND(Table1[[#This Row],[Status]] = "Delivered", Table1[[#This Row],[Actual Delivery]] &lt;= Table1[[#This Row],[Promised Delivery]],Table1[[#This Row],[FillRate]]&gt;=0.95),1,0)</f>
        <v>1</v>
      </c>
      <c r="O413" t="str">
        <f>VLOOKUP(B413,Products!$A$2:$D$9,3,FALSE)</f>
        <v>Raw Material</v>
      </c>
    </row>
    <row r="414" spans="1:15" x14ac:dyDescent="0.25">
      <c r="A414" s="14" t="s">
        <v>440</v>
      </c>
      <c r="B414" s="2" t="s">
        <v>37</v>
      </c>
      <c r="C414" s="2" t="s">
        <v>57</v>
      </c>
      <c r="D414" s="2" t="s">
        <v>28</v>
      </c>
      <c r="E414" s="3">
        <v>45593</v>
      </c>
      <c r="F414" s="20">
        <v>45614</v>
      </c>
      <c r="G414" s="20">
        <v>45614</v>
      </c>
      <c r="H414" s="2">
        <v>1137</v>
      </c>
      <c r="I414" s="2">
        <v>1039</v>
      </c>
      <c r="J414" s="4" t="s">
        <v>14</v>
      </c>
      <c r="K414">
        <f>Table1[[#This Row],[Delivered Qty]]/Table1[[#This Row],[Ordered Qty]]</f>
        <v>0.91380826737027265</v>
      </c>
      <c r="L414">
        <f>VLOOKUP(Table1[[#This Row],[Supplier ID]],Suppliers!$A$2:$D$6,4,FALSE)</f>
        <v>21</v>
      </c>
      <c r="M414">
        <f>Table1[[#This Row],[Actual Delivery]]-Table1[[#This Row],[Order Date]]-Table1[[#This Row],[std Lead time]]</f>
        <v>0</v>
      </c>
      <c r="N414">
        <f>IF(AND(Table1[[#This Row],[Status]] = "Delivered", Table1[[#This Row],[Actual Delivery]] &lt;= Table1[[#This Row],[Promised Delivery]],Table1[[#This Row],[FillRate]]&gt;=0.95),1,0)</f>
        <v>0</v>
      </c>
      <c r="O414" t="str">
        <f>VLOOKUP(B414,Products!$A$2:$D$9,3,FALSE)</f>
        <v>Raw Material</v>
      </c>
    </row>
    <row r="415" spans="1:15" x14ac:dyDescent="0.25">
      <c r="A415" s="15" t="s">
        <v>441</v>
      </c>
      <c r="B415" s="5" t="s">
        <v>33</v>
      </c>
      <c r="C415" s="5" t="s">
        <v>26</v>
      </c>
      <c r="D415" s="5" t="s">
        <v>18</v>
      </c>
      <c r="E415" s="6">
        <v>45576</v>
      </c>
      <c r="F415" s="21">
        <v>45583</v>
      </c>
      <c r="G415" s="21">
        <v>45581</v>
      </c>
      <c r="H415" s="5">
        <v>209</v>
      </c>
      <c r="I415" s="5">
        <v>197</v>
      </c>
      <c r="J415" s="4" t="s">
        <v>14</v>
      </c>
      <c r="K415">
        <f>Table1[[#This Row],[Delivered Qty]]/Table1[[#This Row],[Ordered Qty]]</f>
        <v>0.9425837320574163</v>
      </c>
      <c r="L415">
        <f>VLOOKUP(Table1[[#This Row],[Supplier ID]],Suppliers!$A$2:$D$6,4,FALSE)</f>
        <v>7</v>
      </c>
      <c r="M415">
        <f>Table1[[#This Row],[Actual Delivery]]-Table1[[#This Row],[Order Date]]-Table1[[#This Row],[std Lead time]]</f>
        <v>-2</v>
      </c>
      <c r="N415">
        <f>IF(AND(Table1[[#This Row],[Status]] = "Delivered", Table1[[#This Row],[Actual Delivery]] &lt;= Table1[[#This Row],[Promised Delivery]],Table1[[#This Row],[FillRate]]&gt;=0.95),1,0)</f>
        <v>0</v>
      </c>
      <c r="O415" t="str">
        <f>VLOOKUP(B415,Products!$A$2:$D$9,3,FALSE)</f>
        <v>Raw Material</v>
      </c>
    </row>
    <row r="416" spans="1:15" x14ac:dyDescent="0.25">
      <c r="A416" s="14" t="s">
        <v>442</v>
      </c>
      <c r="B416" s="2" t="s">
        <v>20</v>
      </c>
      <c r="C416" s="2" t="s">
        <v>31</v>
      </c>
      <c r="D416" s="2" t="s">
        <v>13</v>
      </c>
      <c r="E416" s="3">
        <v>45581</v>
      </c>
      <c r="F416" s="20">
        <v>45586</v>
      </c>
      <c r="G416" s="20">
        <v>45585</v>
      </c>
      <c r="H416" s="2">
        <v>1497</v>
      </c>
      <c r="I416" s="2">
        <v>1411</v>
      </c>
      <c r="J416" s="4" t="s">
        <v>14</v>
      </c>
      <c r="K416">
        <f>Table1[[#This Row],[Delivered Qty]]/Table1[[#This Row],[Ordered Qty]]</f>
        <v>0.94255177020708081</v>
      </c>
      <c r="L416">
        <f>VLOOKUP(Table1[[#This Row],[Supplier ID]],Suppliers!$A$2:$D$6,4,FALSE)</f>
        <v>5</v>
      </c>
      <c r="M416">
        <f>Table1[[#This Row],[Actual Delivery]]-Table1[[#This Row],[Order Date]]-Table1[[#This Row],[std Lead time]]</f>
        <v>-1</v>
      </c>
      <c r="N416">
        <f>IF(AND(Table1[[#This Row],[Status]] = "Delivered", Table1[[#This Row],[Actual Delivery]] &lt;= Table1[[#This Row],[Promised Delivery]],Table1[[#This Row],[FillRate]]&gt;=0.95),1,0)</f>
        <v>0</v>
      </c>
      <c r="O416" t="str">
        <f>VLOOKUP(B416,Products!$A$2:$D$9,3,FALSE)</f>
        <v>Raw Material</v>
      </c>
    </row>
    <row r="417" spans="1:15" x14ac:dyDescent="0.25">
      <c r="A417" s="15" t="s">
        <v>443</v>
      </c>
      <c r="B417" s="5" t="s">
        <v>22</v>
      </c>
      <c r="C417" s="5" t="s">
        <v>57</v>
      </c>
      <c r="D417" s="5" t="s">
        <v>18</v>
      </c>
      <c r="E417" s="6">
        <v>45566</v>
      </c>
      <c r="F417" s="21">
        <v>45587</v>
      </c>
      <c r="G417" s="21">
        <v>45586</v>
      </c>
      <c r="H417" s="5">
        <v>1750</v>
      </c>
      <c r="I417" s="5">
        <v>1720</v>
      </c>
      <c r="J417" s="4" t="s">
        <v>14</v>
      </c>
      <c r="K417">
        <f>Table1[[#This Row],[Delivered Qty]]/Table1[[#This Row],[Ordered Qty]]</f>
        <v>0.98285714285714287</v>
      </c>
      <c r="L417">
        <f>VLOOKUP(Table1[[#This Row],[Supplier ID]],Suppliers!$A$2:$D$6,4,FALSE)</f>
        <v>21</v>
      </c>
      <c r="M417">
        <f>Table1[[#This Row],[Actual Delivery]]-Table1[[#This Row],[Order Date]]-Table1[[#This Row],[std Lead time]]</f>
        <v>-1</v>
      </c>
      <c r="N417">
        <f>IF(AND(Table1[[#This Row],[Status]] = "Delivered", Table1[[#This Row],[Actual Delivery]] &lt;= Table1[[#This Row],[Promised Delivery]],Table1[[#This Row],[FillRate]]&gt;=0.95),1,0)</f>
        <v>1</v>
      </c>
      <c r="O417" t="str">
        <f>VLOOKUP(B417,Products!$A$2:$D$9,3,FALSE)</f>
        <v>Finished Goods</v>
      </c>
    </row>
    <row r="418" spans="1:15" x14ac:dyDescent="0.25">
      <c r="A418" s="14" t="s">
        <v>444</v>
      </c>
      <c r="B418" s="2" t="s">
        <v>20</v>
      </c>
      <c r="C418" s="2" t="s">
        <v>26</v>
      </c>
      <c r="D418" s="2" t="s">
        <v>28</v>
      </c>
      <c r="E418" s="3">
        <v>45586</v>
      </c>
      <c r="F418" s="20">
        <v>45593</v>
      </c>
      <c r="G418" s="20">
        <v>45592</v>
      </c>
      <c r="H418" s="2">
        <v>839</v>
      </c>
      <c r="I418" s="2">
        <v>765</v>
      </c>
      <c r="J418" s="4" t="s">
        <v>14</v>
      </c>
      <c r="K418">
        <f>Table1[[#This Row],[Delivered Qty]]/Table1[[#This Row],[Ordered Qty]]</f>
        <v>0.91179976162097731</v>
      </c>
      <c r="L418">
        <f>VLOOKUP(Table1[[#This Row],[Supplier ID]],Suppliers!$A$2:$D$6,4,FALSE)</f>
        <v>7</v>
      </c>
      <c r="M418">
        <f>Table1[[#This Row],[Actual Delivery]]-Table1[[#This Row],[Order Date]]-Table1[[#This Row],[std Lead time]]</f>
        <v>-1</v>
      </c>
      <c r="N418">
        <f>IF(AND(Table1[[#This Row],[Status]] = "Delivered", Table1[[#This Row],[Actual Delivery]] &lt;= Table1[[#This Row],[Promised Delivery]],Table1[[#This Row],[FillRate]]&gt;=0.95),1,0)</f>
        <v>0</v>
      </c>
      <c r="O418" t="str">
        <f>VLOOKUP(B418,Products!$A$2:$D$9,3,FALSE)</f>
        <v>Raw Material</v>
      </c>
    </row>
    <row r="419" spans="1:15" x14ac:dyDescent="0.25">
      <c r="A419" s="15" t="s">
        <v>445</v>
      </c>
      <c r="B419" s="5" t="s">
        <v>22</v>
      </c>
      <c r="C419" s="5" t="s">
        <v>17</v>
      </c>
      <c r="D419" s="5" t="s">
        <v>23</v>
      </c>
      <c r="E419" s="6">
        <v>45571</v>
      </c>
      <c r="F419" s="21">
        <v>45577</v>
      </c>
      <c r="G419" s="21">
        <v>45580</v>
      </c>
      <c r="H419" s="5">
        <v>795</v>
      </c>
      <c r="I419" s="5">
        <v>751</v>
      </c>
      <c r="J419" s="4" t="s">
        <v>14</v>
      </c>
      <c r="K419">
        <f>Table1[[#This Row],[Delivered Qty]]/Table1[[#This Row],[Ordered Qty]]</f>
        <v>0.94465408805031448</v>
      </c>
      <c r="L419">
        <f>VLOOKUP(Table1[[#This Row],[Supplier ID]],Suppliers!$A$2:$D$6,4,FALSE)</f>
        <v>6</v>
      </c>
      <c r="M419">
        <f>Table1[[#This Row],[Actual Delivery]]-Table1[[#This Row],[Order Date]]-Table1[[#This Row],[std Lead time]]</f>
        <v>3</v>
      </c>
      <c r="N419">
        <f>IF(AND(Table1[[#This Row],[Status]] = "Delivered", Table1[[#This Row],[Actual Delivery]] &lt;= Table1[[#This Row],[Promised Delivery]],Table1[[#This Row],[FillRate]]&gt;=0.95),1,0)</f>
        <v>0</v>
      </c>
      <c r="O419" t="str">
        <f>VLOOKUP(B419,Products!$A$2:$D$9,3,FALSE)</f>
        <v>Finished Goods</v>
      </c>
    </row>
    <row r="420" spans="1:15" x14ac:dyDescent="0.25">
      <c r="A420" s="14" t="s">
        <v>446</v>
      </c>
      <c r="B420" s="2" t="s">
        <v>30</v>
      </c>
      <c r="C420" s="2" t="s">
        <v>57</v>
      </c>
      <c r="D420" s="2" t="s">
        <v>13</v>
      </c>
      <c r="E420" s="3">
        <v>45576</v>
      </c>
      <c r="F420" s="20">
        <v>45597</v>
      </c>
      <c r="G420" s="20">
        <v>45596</v>
      </c>
      <c r="H420" s="2">
        <v>239</v>
      </c>
      <c r="I420" s="2">
        <v>220</v>
      </c>
      <c r="J420" s="4" t="s">
        <v>14</v>
      </c>
      <c r="K420">
        <f>Table1[[#This Row],[Delivered Qty]]/Table1[[#This Row],[Ordered Qty]]</f>
        <v>0.92050209205020916</v>
      </c>
      <c r="L420">
        <f>VLOOKUP(Table1[[#This Row],[Supplier ID]],Suppliers!$A$2:$D$6,4,FALSE)</f>
        <v>21</v>
      </c>
      <c r="M420">
        <f>Table1[[#This Row],[Actual Delivery]]-Table1[[#This Row],[Order Date]]-Table1[[#This Row],[std Lead time]]</f>
        <v>-1</v>
      </c>
      <c r="N420">
        <f>IF(AND(Table1[[#This Row],[Status]] = "Delivered", Table1[[#This Row],[Actual Delivery]] &lt;= Table1[[#This Row],[Promised Delivery]],Table1[[#This Row],[FillRate]]&gt;=0.95),1,0)</f>
        <v>0</v>
      </c>
      <c r="O420" t="str">
        <f>VLOOKUP(B420,Products!$A$2:$D$9,3,FALSE)</f>
        <v>Finished Goods</v>
      </c>
    </row>
    <row r="421" spans="1:15" x14ac:dyDescent="0.25">
      <c r="A421" s="15" t="s">
        <v>447</v>
      </c>
      <c r="B421" s="5" t="s">
        <v>33</v>
      </c>
      <c r="C421" s="5" t="s">
        <v>31</v>
      </c>
      <c r="D421" s="5" t="s">
        <v>28</v>
      </c>
      <c r="E421" s="6">
        <v>45584</v>
      </c>
      <c r="F421" s="21">
        <v>45589</v>
      </c>
      <c r="G421" s="21">
        <v>45589</v>
      </c>
      <c r="H421" s="5">
        <v>1532</v>
      </c>
      <c r="I421" s="5">
        <v>1500</v>
      </c>
      <c r="J421" s="4" t="s">
        <v>14</v>
      </c>
      <c r="K421">
        <f>Table1[[#This Row],[Delivered Qty]]/Table1[[#This Row],[Ordered Qty]]</f>
        <v>0.97911227154046998</v>
      </c>
      <c r="L421">
        <f>VLOOKUP(Table1[[#This Row],[Supplier ID]],Suppliers!$A$2:$D$6,4,FALSE)</f>
        <v>5</v>
      </c>
      <c r="M421">
        <f>Table1[[#This Row],[Actual Delivery]]-Table1[[#This Row],[Order Date]]-Table1[[#This Row],[std Lead time]]</f>
        <v>0</v>
      </c>
      <c r="N421">
        <f>IF(AND(Table1[[#This Row],[Status]] = "Delivered", Table1[[#This Row],[Actual Delivery]] &lt;= Table1[[#This Row],[Promised Delivery]],Table1[[#This Row],[FillRate]]&gt;=0.95),1,0)</f>
        <v>1</v>
      </c>
      <c r="O421" t="str">
        <f>VLOOKUP(B421,Products!$A$2:$D$9,3,FALSE)</f>
        <v>Raw Material</v>
      </c>
    </row>
    <row r="422" spans="1:15" x14ac:dyDescent="0.25">
      <c r="A422" s="14" t="s">
        <v>448</v>
      </c>
      <c r="B422" s="2" t="s">
        <v>22</v>
      </c>
      <c r="C422" s="2" t="s">
        <v>12</v>
      </c>
      <c r="D422" s="2" t="s">
        <v>28</v>
      </c>
      <c r="E422" s="3">
        <v>45585</v>
      </c>
      <c r="F422" s="20">
        <v>45603</v>
      </c>
      <c r="G422" s="20">
        <v>45603</v>
      </c>
      <c r="H422" s="2">
        <v>437</v>
      </c>
      <c r="I422" s="2">
        <v>411</v>
      </c>
      <c r="J422" s="4" t="s">
        <v>14</v>
      </c>
      <c r="K422">
        <f>Table1[[#This Row],[Delivered Qty]]/Table1[[#This Row],[Ordered Qty]]</f>
        <v>0.94050343249427915</v>
      </c>
      <c r="L422">
        <f>VLOOKUP(Table1[[#This Row],[Supplier ID]],Suppliers!$A$2:$D$6,4,FALSE)</f>
        <v>18</v>
      </c>
      <c r="M422">
        <f>Table1[[#This Row],[Actual Delivery]]-Table1[[#This Row],[Order Date]]-Table1[[#This Row],[std Lead time]]</f>
        <v>0</v>
      </c>
      <c r="N422">
        <f>IF(AND(Table1[[#This Row],[Status]] = "Delivered", Table1[[#This Row],[Actual Delivery]] &lt;= Table1[[#This Row],[Promised Delivery]],Table1[[#This Row],[FillRate]]&gt;=0.95),1,0)</f>
        <v>0</v>
      </c>
      <c r="O422" t="str">
        <f>VLOOKUP(B422,Products!$A$2:$D$9,3,FALSE)</f>
        <v>Finished Goods</v>
      </c>
    </row>
    <row r="423" spans="1:15" x14ac:dyDescent="0.25">
      <c r="A423" s="15" t="s">
        <v>449</v>
      </c>
      <c r="B423" s="5" t="s">
        <v>22</v>
      </c>
      <c r="C423" s="5" t="s">
        <v>26</v>
      </c>
      <c r="D423" s="5" t="s">
        <v>23</v>
      </c>
      <c r="E423" s="6">
        <v>45581</v>
      </c>
      <c r="F423" s="21">
        <v>45588</v>
      </c>
      <c r="G423" s="21">
        <v>45588</v>
      </c>
      <c r="H423" s="5">
        <v>1490</v>
      </c>
      <c r="I423" s="5">
        <v>1342</v>
      </c>
      <c r="J423" s="4" t="s">
        <v>14</v>
      </c>
      <c r="K423">
        <f>Table1[[#This Row],[Delivered Qty]]/Table1[[#This Row],[Ordered Qty]]</f>
        <v>0.90067114093959733</v>
      </c>
      <c r="L423">
        <f>VLOOKUP(Table1[[#This Row],[Supplier ID]],Suppliers!$A$2:$D$6,4,FALSE)</f>
        <v>7</v>
      </c>
      <c r="M423">
        <f>Table1[[#This Row],[Actual Delivery]]-Table1[[#This Row],[Order Date]]-Table1[[#This Row],[std Lead time]]</f>
        <v>0</v>
      </c>
      <c r="N423">
        <f>IF(AND(Table1[[#This Row],[Status]] = "Delivered", Table1[[#This Row],[Actual Delivery]] &lt;= Table1[[#This Row],[Promised Delivery]],Table1[[#This Row],[FillRate]]&gt;=0.95),1,0)</f>
        <v>0</v>
      </c>
      <c r="O423" t="str">
        <f>VLOOKUP(B423,Products!$A$2:$D$9,3,FALSE)</f>
        <v>Finished Goods</v>
      </c>
    </row>
    <row r="424" spans="1:15" x14ac:dyDescent="0.25">
      <c r="A424" s="14" t="s">
        <v>450</v>
      </c>
      <c r="B424" s="2" t="s">
        <v>16</v>
      </c>
      <c r="C424" s="2" t="s">
        <v>17</v>
      </c>
      <c r="D424" s="2" t="s">
        <v>23</v>
      </c>
      <c r="E424" s="3">
        <v>45616</v>
      </c>
      <c r="F424" s="20">
        <v>45622</v>
      </c>
      <c r="G424" s="20">
        <v>45620</v>
      </c>
      <c r="H424" s="2">
        <v>1247</v>
      </c>
      <c r="I424" s="2">
        <v>1169</v>
      </c>
      <c r="J424" s="4" t="s">
        <v>14</v>
      </c>
      <c r="K424">
        <f>Table1[[#This Row],[Delivered Qty]]/Table1[[#This Row],[Ordered Qty]]</f>
        <v>0.93744987971130711</v>
      </c>
      <c r="L424">
        <f>VLOOKUP(Table1[[#This Row],[Supplier ID]],Suppliers!$A$2:$D$6,4,FALSE)</f>
        <v>6</v>
      </c>
      <c r="M424">
        <f>Table1[[#This Row],[Actual Delivery]]-Table1[[#This Row],[Order Date]]-Table1[[#This Row],[std Lead time]]</f>
        <v>-2</v>
      </c>
      <c r="N424">
        <f>IF(AND(Table1[[#This Row],[Status]] = "Delivered", Table1[[#This Row],[Actual Delivery]] &lt;= Table1[[#This Row],[Promised Delivery]],Table1[[#This Row],[FillRate]]&gt;=0.95),1,0)</f>
        <v>0</v>
      </c>
      <c r="O424" t="str">
        <f>VLOOKUP(B424,Products!$A$2:$D$9,3,FALSE)</f>
        <v>Packaging</v>
      </c>
    </row>
    <row r="425" spans="1:15" x14ac:dyDescent="0.25">
      <c r="A425" s="15" t="s">
        <v>451</v>
      </c>
      <c r="B425" s="5" t="s">
        <v>16</v>
      </c>
      <c r="C425" s="5" t="s">
        <v>12</v>
      </c>
      <c r="D425" s="5" t="s">
        <v>28</v>
      </c>
      <c r="E425" s="6">
        <v>45622</v>
      </c>
      <c r="F425" s="21">
        <v>45640</v>
      </c>
      <c r="G425" s="21">
        <v>45640</v>
      </c>
      <c r="H425" s="5">
        <v>609</v>
      </c>
      <c r="I425" s="5">
        <v>579</v>
      </c>
      <c r="J425" s="4" t="s">
        <v>14</v>
      </c>
      <c r="K425">
        <f>Table1[[#This Row],[Delivered Qty]]/Table1[[#This Row],[Ordered Qty]]</f>
        <v>0.95073891625615758</v>
      </c>
      <c r="L425">
        <f>VLOOKUP(Table1[[#This Row],[Supplier ID]],Suppliers!$A$2:$D$6,4,FALSE)</f>
        <v>18</v>
      </c>
      <c r="M425">
        <f>Table1[[#This Row],[Actual Delivery]]-Table1[[#This Row],[Order Date]]-Table1[[#This Row],[std Lead time]]</f>
        <v>0</v>
      </c>
      <c r="N425">
        <f>IF(AND(Table1[[#This Row],[Status]] = "Delivered", Table1[[#This Row],[Actual Delivery]] &lt;= Table1[[#This Row],[Promised Delivery]],Table1[[#This Row],[FillRate]]&gt;=0.95),1,0)</f>
        <v>1</v>
      </c>
      <c r="O425" t="str">
        <f>VLOOKUP(B425,Products!$A$2:$D$9,3,FALSE)</f>
        <v>Packaging</v>
      </c>
    </row>
    <row r="426" spans="1:15" x14ac:dyDescent="0.25">
      <c r="A426" s="14" t="s">
        <v>452</v>
      </c>
      <c r="B426" s="2" t="s">
        <v>20</v>
      </c>
      <c r="C426" s="2" t="s">
        <v>12</v>
      </c>
      <c r="D426" s="2" t="s">
        <v>18</v>
      </c>
      <c r="E426" s="3">
        <v>45606</v>
      </c>
      <c r="F426" s="20">
        <v>45624</v>
      </c>
      <c r="G426" s="20">
        <v>45623</v>
      </c>
      <c r="H426" s="2">
        <v>625</v>
      </c>
      <c r="I426" s="2">
        <v>605</v>
      </c>
      <c r="J426" s="4" t="s">
        <v>14</v>
      </c>
      <c r="K426">
        <f>Table1[[#This Row],[Delivered Qty]]/Table1[[#This Row],[Ordered Qty]]</f>
        <v>0.96799999999999997</v>
      </c>
      <c r="L426">
        <f>VLOOKUP(Table1[[#This Row],[Supplier ID]],Suppliers!$A$2:$D$6,4,FALSE)</f>
        <v>18</v>
      </c>
      <c r="M426">
        <f>Table1[[#This Row],[Actual Delivery]]-Table1[[#This Row],[Order Date]]-Table1[[#This Row],[std Lead time]]</f>
        <v>-1</v>
      </c>
      <c r="N426">
        <f>IF(AND(Table1[[#This Row],[Status]] = "Delivered", Table1[[#This Row],[Actual Delivery]] &lt;= Table1[[#This Row],[Promised Delivery]],Table1[[#This Row],[FillRate]]&gt;=0.95),1,0)</f>
        <v>1</v>
      </c>
      <c r="O426" t="str">
        <f>VLOOKUP(B426,Products!$A$2:$D$9,3,FALSE)</f>
        <v>Raw Material</v>
      </c>
    </row>
    <row r="427" spans="1:15" x14ac:dyDescent="0.25">
      <c r="A427" s="15" t="s">
        <v>453</v>
      </c>
      <c r="B427" s="5" t="s">
        <v>44</v>
      </c>
      <c r="C427" s="5" t="s">
        <v>12</v>
      </c>
      <c r="D427" s="5" t="s">
        <v>13</v>
      </c>
      <c r="E427" s="6">
        <v>45597</v>
      </c>
      <c r="F427" s="21">
        <v>45615</v>
      </c>
      <c r="G427" s="21">
        <v>45613</v>
      </c>
      <c r="H427" s="5">
        <v>1910</v>
      </c>
      <c r="I427" s="5">
        <v>1828</v>
      </c>
      <c r="J427" s="4" t="s">
        <v>14</v>
      </c>
      <c r="K427">
        <f>Table1[[#This Row],[Delivered Qty]]/Table1[[#This Row],[Ordered Qty]]</f>
        <v>0.95706806282722512</v>
      </c>
      <c r="L427">
        <f>VLOOKUP(Table1[[#This Row],[Supplier ID]],Suppliers!$A$2:$D$6,4,FALSE)</f>
        <v>18</v>
      </c>
      <c r="M427">
        <f>Table1[[#This Row],[Actual Delivery]]-Table1[[#This Row],[Order Date]]-Table1[[#This Row],[std Lead time]]</f>
        <v>-2</v>
      </c>
      <c r="N427">
        <f>IF(AND(Table1[[#This Row],[Status]] = "Delivered", Table1[[#This Row],[Actual Delivery]] &lt;= Table1[[#This Row],[Promised Delivery]],Table1[[#This Row],[FillRate]]&gt;=0.95),1,0)</f>
        <v>1</v>
      </c>
      <c r="O427" t="str">
        <f>VLOOKUP(B427,Products!$A$2:$D$9,3,FALSE)</f>
        <v>Finished Goods</v>
      </c>
    </row>
    <row r="428" spans="1:15" x14ac:dyDescent="0.25">
      <c r="A428" s="14" t="s">
        <v>454</v>
      </c>
      <c r="B428" s="2" t="s">
        <v>44</v>
      </c>
      <c r="C428" s="2" t="s">
        <v>31</v>
      </c>
      <c r="D428" s="2" t="s">
        <v>28</v>
      </c>
      <c r="E428" s="3">
        <v>45621</v>
      </c>
      <c r="F428" s="20">
        <v>45626</v>
      </c>
      <c r="G428" s="20">
        <v>45627</v>
      </c>
      <c r="H428" s="2">
        <v>724</v>
      </c>
      <c r="I428" s="2">
        <v>698</v>
      </c>
      <c r="J428" s="4" t="s">
        <v>14</v>
      </c>
      <c r="K428">
        <f>Table1[[#This Row],[Delivered Qty]]/Table1[[#This Row],[Ordered Qty]]</f>
        <v>0.96408839779005528</v>
      </c>
      <c r="L428">
        <f>VLOOKUP(Table1[[#This Row],[Supplier ID]],Suppliers!$A$2:$D$6,4,FALSE)</f>
        <v>5</v>
      </c>
      <c r="M428">
        <f>Table1[[#This Row],[Actual Delivery]]-Table1[[#This Row],[Order Date]]-Table1[[#This Row],[std Lead time]]</f>
        <v>1</v>
      </c>
      <c r="N428">
        <f>IF(AND(Table1[[#This Row],[Status]] = "Delivered", Table1[[#This Row],[Actual Delivery]] &lt;= Table1[[#This Row],[Promised Delivery]],Table1[[#This Row],[FillRate]]&gt;=0.95),1,0)</f>
        <v>0</v>
      </c>
      <c r="O428" t="str">
        <f>VLOOKUP(B428,Products!$A$2:$D$9,3,FALSE)</f>
        <v>Finished Goods</v>
      </c>
    </row>
    <row r="429" spans="1:15" x14ac:dyDescent="0.25">
      <c r="A429" s="15" t="s">
        <v>455</v>
      </c>
      <c r="B429" s="5" t="s">
        <v>44</v>
      </c>
      <c r="C429" s="5" t="s">
        <v>12</v>
      </c>
      <c r="D429" s="5" t="s">
        <v>23</v>
      </c>
      <c r="E429" s="6">
        <v>45611</v>
      </c>
      <c r="F429" s="21">
        <v>45629</v>
      </c>
      <c r="G429" s="21">
        <v>45627</v>
      </c>
      <c r="H429" s="5">
        <v>1990</v>
      </c>
      <c r="I429" s="5">
        <v>1798</v>
      </c>
      <c r="J429" s="4" t="s">
        <v>14</v>
      </c>
      <c r="K429">
        <f>Table1[[#This Row],[Delivered Qty]]/Table1[[#This Row],[Ordered Qty]]</f>
        <v>0.9035175879396985</v>
      </c>
      <c r="L429">
        <f>VLOOKUP(Table1[[#This Row],[Supplier ID]],Suppliers!$A$2:$D$6,4,FALSE)</f>
        <v>18</v>
      </c>
      <c r="M429">
        <f>Table1[[#This Row],[Actual Delivery]]-Table1[[#This Row],[Order Date]]-Table1[[#This Row],[std Lead time]]</f>
        <v>-2</v>
      </c>
      <c r="N429">
        <f>IF(AND(Table1[[#This Row],[Status]] = "Delivered", Table1[[#This Row],[Actual Delivery]] &lt;= Table1[[#This Row],[Promised Delivery]],Table1[[#This Row],[FillRate]]&gt;=0.95),1,0)</f>
        <v>0</v>
      </c>
      <c r="O429" t="str">
        <f>VLOOKUP(B429,Products!$A$2:$D$9,3,FALSE)</f>
        <v>Finished Goods</v>
      </c>
    </row>
    <row r="430" spans="1:15" x14ac:dyDescent="0.25">
      <c r="A430" s="14" t="s">
        <v>456</v>
      </c>
      <c r="B430" s="2" t="s">
        <v>37</v>
      </c>
      <c r="C430" s="2" t="s">
        <v>12</v>
      </c>
      <c r="D430" s="2" t="s">
        <v>23</v>
      </c>
      <c r="E430" s="3">
        <v>45610</v>
      </c>
      <c r="F430" s="20">
        <v>45628</v>
      </c>
      <c r="G430" s="20">
        <v>45626</v>
      </c>
      <c r="H430" s="2">
        <v>219</v>
      </c>
      <c r="I430" s="2">
        <v>215</v>
      </c>
      <c r="J430" s="4" t="s">
        <v>14</v>
      </c>
      <c r="K430">
        <f>Table1[[#This Row],[Delivered Qty]]/Table1[[#This Row],[Ordered Qty]]</f>
        <v>0.9817351598173516</v>
      </c>
      <c r="L430">
        <f>VLOOKUP(Table1[[#This Row],[Supplier ID]],Suppliers!$A$2:$D$6,4,FALSE)</f>
        <v>18</v>
      </c>
      <c r="M430">
        <f>Table1[[#This Row],[Actual Delivery]]-Table1[[#This Row],[Order Date]]-Table1[[#This Row],[std Lead time]]</f>
        <v>-2</v>
      </c>
      <c r="N430">
        <f>IF(AND(Table1[[#This Row],[Status]] = "Delivered", Table1[[#This Row],[Actual Delivery]] &lt;= Table1[[#This Row],[Promised Delivery]],Table1[[#This Row],[FillRate]]&gt;=0.95),1,0)</f>
        <v>1</v>
      </c>
      <c r="O430" t="str">
        <f>VLOOKUP(B430,Products!$A$2:$D$9,3,FALSE)</f>
        <v>Raw Material</v>
      </c>
    </row>
    <row r="431" spans="1:15" x14ac:dyDescent="0.25">
      <c r="A431" s="15" t="s">
        <v>457</v>
      </c>
      <c r="B431" s="5" t="s">
        <v>33</v>
      </c>
      <c r="C431" s="5" t="s">
        <v>12</v>
      </c>
      <c r="D431" s="5" t="s">
        <v>23</v>
      </c>
      <c r="E431" s="6">
        <v>45611</v>
      </c>
      <c r="F431" s="21">
        <v>45629</v>
      </c>
      <c r="G431" s="21">
        <v>45630</v>
      </c>
      <c r="H431" s="5">
        <v>963</v>
      </c>
      <c r="I431" s="5">
        <v>945</v>
      </c>
      <c r="J431" s="4" t="s">
        <v>14</v>
      </c>
      <c r="K431">
        <f>Table1[[#This Row],[Delivered Qty]]/Table1[[#This Row],[Ordered Qty]]</f>
        <v>0.98130841121495327</v>
      </c>
      <c r="L431">
        <f>VLOOKUP(Table1[[#This Row],[Supplier ID]],Suppliers!$A$2:$D$6,4,FALSE)</f>
        <v>18</v>
      </c>
      <c r="M431">
        <f>Table1[[#This Row],[Actual Delivery]]-Table1[[#This Row],[Order Date]]-Table1[[#This Row],[std Lead time]]</f>
        <v>1</v>
      </c>
      <c r="N431">
        <f>IF(AND(Table1[[#This Row],[Status]] = "Delivered", Table1[[#This Row],[Actual Delivery]] &lt;= Table1[[#This Row],[Promised Delivery]],Table1[[#This Row],[FillRate]]&gt;=0.95),1,0)</f>
        <v>0</v>
      </c>
      <c r="O431" t="str">
        <f>VLOOKUP(B431,Products!$A$2:$D$9,3,FALSE)</f>
        <v>Raw Material</v>
      </c>
    </row>
    <row r="432" spans="1:15" x14ac:dyDescent="0.25">
      <c r="A432" s="14" t="s">
        <v>458</v>
      </c>
      <c r="B432" s="2" t="s">
        <v>33</v>
      </c>
      <c r="C432" s="2" t="s">
        <v>26</v>
      </c>
      <c r="D432" s="2" t="s">
        <v>18</v>
      </c>
      <c r="E432" s="3">
        <v>45609</v>
      </c>
      <c r="F432" s="20">
        <v>45616</v>
      </c>
      <c r="G432" s="20">
        <v>45615</v>
      </c>
      <c r="H432" s="2">
        <v>1612</v>
      </c>
      <c r="I432" s="2">
        <v>1587</v>
      </c>
      <c r="J432" s="4" t="s">
        <v>14</v>
      </c>
      <c r="K432">
        <f>Table1[[#This Row],[Delivered Qty]]/Table1[[#This Row],[Ordered Qty]]</f>
        <v>0.98449131513647647</v>
      </c>
      <c r="L432">
        <f>VLOOKUP(Table1[[#This Row],[Supplier ID]],Suppliers!$A$2:$D$6,4,FALSE)</f>
        <v>7</v>
      </c>
      <c r="M432">
        <f>Table1[[#This Row],[Actual Delivery]]-Table1[[#This Row],[Order Date]]-Table1[[#This Row],[std Lead time]]</f>
        <v>-1</v>
      </c>
      <c r="N432">
        <f>IF(AND(Table1[[#This Row],[Status]] = "Delivered", Table1[[#This Row],[Actual Delivery]] &lt;= Table1[[#This Row],[Promised Delivery]],Table1[[#This Row],[FillRate]]&gt;=0.95),1,0)</f>
        <v>1</v>
      </c>
      <c r="O432" t="str">
        <f>VLOOKUP(B432,Products!$A$2:$D$9,3,FALSE)</f>
        <v>Raw Material</v>
      </c>
    </row>
    <row r="433" spans="1:15" x14ac:dyDescent="0.25">
      <c r="A433" s="15" t="s">
        <v>459</v>
      </c>
      <c r="B433" s="5" t="s">
        <v>22</v>
      </c>
      <c r="C433" s="5" t="s">
        <v>31</v>
      </c>
      <c r="D433" s="5" t="s">
        <v>28</v>
      </c>
      <c r="E433" s="6">
        <v>45601</v>
      </c>
      <c r="F433" s="21">
        <v>45606</v>
      </c>
      <c r="G433" s="21">
        <v>45615</v>
      </c>
      <c r="H433" s="5">
        <v>412</v>
      </c>
      <c r="I433" s="5">
        <v>387</v>
      </c>
      <c r="J433" s="4" t="s">
        <v>14</v>
      </c>
      <c r="K433">
        <f>Table1[[#This Row],[Delivered Qty]]/Table1[[#This Row],[Ordered Qty]]</f>
        <v>0.93932038834951459</v>
      </c>
      <c r="L433">
        <f>VLOOKUP(Table1[[#This Row],[Supplier ID]],Suppliers!$A$2:$D$6,4,FALSE)</f>
        <v>5</v>
      </c>
      <c r="M433">
        <f>Table1[[#This Row],[Actual Delivery]]-Table1[[#This Row],[Order Date]]-Table1[[#This Row],[std Lead time]]</f>
        <v>9</v>
      </c>
      <c r="N433">
        <f>IF(AND(Table1[[#This Row],[Status]] = "Delivered", Table1[[#This Row],[Actual Delivery]] &lt;= Table1[[#This Row],[Promised Delivery]],Table1[[#This Row],[FillRate]]&gt;=0.95),1,0)</f>
        <v>0</v>
      </c>
      <c r="O433" t="str">
        <f>VLOOKUP(B433,Products!$A$2:$D$9,3,FALSE)</f>
        <v>Finished Goods</v>
      </c>
    </row>
    <row r="434" spans="1:15" x14ac:dyDescent="0.25">
      <c r="A434" s="14" t="s">
        <v>460</v>
      </c>
      <c r="B434" s="2" t="s">
        <v>44</v>
      </c>
      <c r="C434" s="2" t="s">
        <v>17</v>
      </c>
      <c r="D434" s="2" t="s">
        <v>18</v>
      </c>
      <c r="E434" s="3">
        <v>45602</v>
      </c>
      <c r="F434" s="20">
        <v>45608</v>
      </c>
      <c r="G434" s="20">
        <v>45613</v>
      </c>
      <c r="H434" s="2">
        <v>259</v>
      </c>
      <c r="I434" s="2">
        <v>255</v>
      </c>
      <c r="J434" s="4" t="s">
        <v>14</v>
      </c>
      <c r="K434">
        <f>Table1[[#This Row],[Delivered Qty]]/Table1[[#This Row],[Ordered Qty]]</f>
        <v>0.98455598455598459</v>
      </c>
      <c r="L434">
        <f>VLOOKUP(Table1[[#This Row],[Supplier ID]],Suppliers!$A$2:$D$6,4,FALSE)</f>
        <v>6</v>
      </c>
      <c r="M434">
        <f>Table1[[#This Row],[Actual Delivery]]-Table1[[#This Row],[Order Date]]-Table1[[#This Row],[std Lead time]]</f>
        <v>5</v>
      </c>
      <c r="N434">
        <f>IF(AND(Table1[[#This Row],[Status]] = "Delivered", Table1[[#This Row],[Actual Delivery]] &lt;= Table1[[#This Row],[Promised Delivery]],Table1[[#This Row],[FillRate]]&gt;=0.95),1,0)</f>
        <v>0</v>
      </c>
      <c r="O434" t="str">
        <f>VLOOKUP(B434,Products!$A$2:$D$9,3,FALSE)</f>
        <v>Finished Goods</v>
      </c>
    </row>
    <row r="435" spans="1:15" x14ac:dyDescent="0.25">
      <c r="A435" s="15" t="s">
        <v>461</v>
      </c>
      <c r="B435" s="5" t="s">
        <v>33</v>
      </c>
      <c r="C435" s="5" t="s">
        <v>57</v>
      </c>
      <c r="D435" s="5" t="s">
        <v>18</v>
      </c>
      <c r="E435" s="6">
        <v>45600</v>
      </c>
      <c r="F435" s="21">
        <v>45621</v>
      </c>
      <c r="G435" s="21">
        <v>45619</v>
      </c>
      <c r="H435" s="5">
        <v>735</v>
      </c>
      <c r="I435" s="5">
        <v>709</v>
      </c>
      <c r="J435" s="4" t="s">
        <v>14</v>
      </c>
      <c r="K435">
        <f>Table1[[#This Row],[Delivered Qty]]/Table1[[#This Row],[Ordered Qty]]</f>
        <v>0.96462585034013604</v>
      </c>
      <c r="L435">
        <f>VLOOKUP(Table1[[#This Row],[Supplier ID]],Suppliers!$A$2:$D$6,4,FALSE)</f>
        <v>21</v>
      </c>
      <c r="M435">
        <f>Table1[[#This Row],[Actual Delivery]]-Table1[[#This Row],[Order Date]]-Table1[[#This Row],[std Lead time]]</f>
        <v>-2</v>
      </c>
      <c r="N435">
        <f>IF(AND(Table1[[#This Row],[Status]] = "Delivered", Table1[[#This Row],[Actual Delivery]] &lt;= Table1[[#This Row],[Promised Delivery]],Table1[[#This Row],[FillRate]]&gt;=0.95),1,0)</f>
        <v>1</v>
      </c>
      <c r="O435" t="str">
        <f>VLOOKUP(B435,Products!$A$2:$D$9,3,FALSE)</f>
        <v>Raw Material</v>
      </c>
    </row>
    <row r="436" spans="1:15" x14ac:dyDescent="0.25">
      <c r="A436" s="14" t="s">
        <v>462</v>
      </c>
      <c r="B436" s="2" t="s">
        <v>11</v>
      </c>
      <c r="C436" s="2" t="s">
        <v>17</v>
      </c>
      <c r="D436" s="2" t="s">
        <v>13</v>
      </c>
      <c r="E436" s="3">
        <v>45618</v>
      </c>
      <c r="F436" s="20">
        <v>45624</v>
      </c>
      <c r="G436" s="20">
        <v>45624</v>
      </c>
      <c r="H436" s="2">
        <v>1634</v>
      </c>
      <c r="I436" s="2">
        <v>1496</v>
      </c>
      <c r="J436" s="4" t="s">
        <v>14</v>
      </c>
      <c r="K436">
        <f>Table1[[#This Row],[Delivered Qty]]/Table1[[#This Row],[Ordered Qty]]</f>
        <v>0.9155446756425949</v>
      </c>
      <c r="L436">
        <f>VLOOKUP(Table1[[#This Row],[Supplier ID]],Suppliers!$A$2:$D$6,4,FALSE)</f>
        <v>6</v>
      </c>
      <c r="M436">
        <f>Table1[[#This Row],[Actual Delivery]]-Table1[[#This Row],[Order Date]]-Table1[[#This Row],[std Lead time]]</f>
        <v>0</v>
      </c>
      <c r="N436">
        <f>IF(AND(Table1[[#This Row],[Status]] = "Delivered", Table1[[#This Row],[Actual Delivery]] &lt;= Table1[[#This Row],[Promised Delivery]],Table1[[#This Row],[FillRate]]&gt;=0.95),1,0)</f>
        <v>0</v>
      </c>
      <c r="O436" t="str">
        <f>VLOOKUP(B436,Products!$A$2:$D$9,3,FALSE)</f>
        <v>Packaging</v>
      </c>
    </row>
    <row r="437" spans="1:15" x14ac:dyDescent="0.25">
      <c r="A437" s="15" t="s">
        <v>463</v>
      </c>
      <c r="B437" s="5" t="s">
        <v>22</v>
      </c>
      <c r="C437" s="5" t="s">
        <v>31</v>
      </c>
      <c r="D437" s="5" t="s">
        <v>18</v>
      </c>
      <c r="E437" s="6">
        <v>45608</v>
      </c>
      <c r="F437" s="21">
        <v>45613</v>
      </c>
      <c r="G437" s="21">
        <v>45613</v>
      </c>
      <c r="H437" s="5">
        <v>1455</v>
      </c>
      <c r="I437" s="5">
        <v>1317</v>
      </c>
      <c r="J437" s="4" t="s">
        <v>14</v>
      </c>
      <c r="K437">
        <f>Table1[[#This Row],[Delivered Qty]]/Table1[[#This Row],[Ordered Qty]]</f>
        <v>0.90515463917525774</v>
      </c>
      <c r="L437">
        <f>VLOOKUP(Table1[[#This Row],[Supplier ID]],Suppliers!$A$2:$D$6,4,FALSE)</f>
        <v>5</v>
      </c>
      <c r="M437">
        <f>Table1[[#This Row],[Actual Delivery]]-Table1[[#This Row],[Order Date]]-Table1[[#This Row],[std Lead time]]</f>
        <v>0</v>
      </c>
      <c r="N437">
        <f>IF(AND(Table1[[#This Row],[Status]] = "Delivered", Table1[[#This Row],[Actual Delivery]] &lt;= Table1[[#This Row],[Promised Delivery]],Table1[[#This Row],[FillRate]]&gt;=0.95),1,0)</f>
        <v>0</v>
      </c>
      <c r="O437" t="str">
        <f>VLOOKUP(B437,Products!$A$2:$D$9,3,FALSE)</f>
        <v>Finished Goods</v>
      </c>
    </row>
    <row r="438" spans="1:15" x14ac:dyDescent="0.25">
      <c r="A438" s="14" t="s">
        <v>464</v>
      </c>
      <c r="B438" s="2" t="s">
        <v>33</v>
      </c>
      <c r="C438" s="2" t="s">
        <v>17</v>
      </c>
      <c r="D438" s="2" t="s">
        <v>18</v>
      </c>
      <c r="E438" s="3">
        <v>45624</v>
      </c>
      <c r="F438" s="20">
        <v>45630</v>
      </c>
      <c r="G438" s="20">
        <v>45631</v>
      </c>
      <c r="H438" s="2">
        <v>1738</v>
      </c>
      <c r="I438" s="2">
        <v>1649</v>
      </c>
      <c r="J438" s="4" t="s">
        <v>14</v>
      </c>
      <c r="K438">
        <f>Table1[[#This Row],[Delivered Qty]]/Table1[[#This Row],[Ordered Qty]]</f>
        <v>0.9487917146144994</v>
      </c>
      <c r="L438">
        <f>VLOOKUP(Table1[[#This Row],[Supplier ID]],Suppliers!$A$2:$D$6,4,FALSE)</f>
        <v>6</v>
      </c>
      <c r="M438">
        <f>Table1[[#This Row],[Actual Delivery]]-Table1[[#This Row],[Order Date]]-Table1[[#This Row],[std Lead time]]</f>
        <v>1</v>
      </c>
      <c r="N438">
        <f>IF(AND(Table1[[#This Row],[Status]] = "Delivered", Table1[[#This Row],[Actual Delivery]] &lt;= Table1[[#This Row],[Promised Delivery]],Table1[[#This Row],[FillRate]]&gt;=0.95),1,0)</f>
        <v>0</v>
      </c>
      <c r="O438" t="str">
        <f>VLOOKUP(B438,Products!$A$2:$D$9,3,FALSE)</f>
        <v>Raw Material</v>
      </c>
    </row>
    <row r="439" spans="1:15" x14ac:dyDescent="0.25">
      <c r="A439" s="15" t="s">
        <v>465</v>
      </c>
      <c r="B439" s="5" t="s">
        <v>20</v>
      </c>
      <c r="C439" s="5" t="s">
        <v>12</v>
      </c>
      <c r="D439" s="5" t="s">
        <v>23</v>
      </c>
      <c r="E439" s="6">
        <v>45598</v>
      </c>
      <c r="F439" s="21">
        <v>45616</v>
      </c>
      <c r="G439" s="21">
        <v>45615</v>
      </c>
      <c r="H439" s="5">
        <v>1025</v>
      </c>
      <c r="I439" s="5">
        <v>1006</v>
      </c>
      <c r="J439" s="4" t="s">
        <v>14</v>
      </c>
      <c r="K439">
        <f>Table1[[#This Row],[Delivered Qty]]/Table1[[#This Row],[Ordered Qty]]</f>
        <v>0.98146341463414632</v>
      </c>
      <c r="L439">
        <f>VLOOKUP(Table1[[#This Row],[Supplier ID]],Suppliers!$A$2:$D$6,4,FALSE)</f>
        <v>18</v>
      </c>
      <c r="M439">
        <f>Table1[[#This Row],[Actual Delivery]]-Table1[[#This Row],[Order Date]]-Table1[[#This Row],[std Lead time]]</f>
        <v>-1</v>
      </c>
      <c r="N439">
        <f>IF(AND(Table1[[#This Row],[Status]] = "Delivered", Table1[[#This Row],[Actual Delivery]] &lt;= Table1[[#This Row],[Promised Delivery]],Table1[[#This Row],[FillRate]]&gt;=0.95),1,0)</f>
        <v>1</v>
      </c>
      <c r="O439" t="str">
        <f>VLOOKUP(B439,Products!$A$2:$D$9,3,FALSE)</f>
        <v>Raw Material</v>
      </c>
    </row>
    <row r="440" spans="1:15" x14ac:dyDescent="0.25">
      <c r="A440" s="14" t="s">
        <v>466</v>
      </c>
      <c r="B440" s="2" t="s">
        <v>16</v>
      </c>
      <c r="C440" s="2" t="s">
        <v>57</v>
      </c>
      <c r="D440" s="2" t="s">
        <v>18</v>
      </c>
      <c r="E440" s="3">
        <v>45622</v>
      </c>
      <c r="F440" s="20">
        <v>45643</v>
      </c>
      <c r="G440" s="20">
        <v>45642</v>
      </c>
      <c r="H440" s="2">
        <v>1115</v>
      </c>
      <c r="I440" s="2">
        <v>947</v>
      </c>
      <c r="J440" s="4" t="s">
        <v>14</v>
      </c>
      <c r="K440">
        <f>Table1[[#This Row],[Delivered Qty]]/Table1[[#This Row],[Ordered Qty]]</f>
        <v>0.84932735426008965</v>
      </c>
      <c r="L440">
        <f>VLOOKUP(Table1[[#This Row],[Supplier ID]],Suppliers!$A$2:$D$6,4,FALSE)</f>
        <v>21</v>
      </c>
      <c r="M440">
        <f>Table1[[#This Row],[Actual Delivery]]-Table1[[#This Row],[Order Date]]-Table1[[#This Row],[std Lead time]]</f>
        <v>-1</v>
      </c>
      <c r="N440">
        <f>IF(AND(Table1[[#This Row],[Status]] = "Delivered", Table1[[#This Row],[Actual Delivery]] &lt;= Table1[[#This Row],[Promised Delivery]],Table1[[#This Row],[FillRate]]&gt;=0.95),1,0)</f>
        <v>0</v>
      </c>
      <c r="O440" t="str">
        <f>VLOOKUP(B440,Products!$A$2:$D$9,3,FALSE)</f>
        <v>Packaging</v>
      </c>
    </row>
    <row r="441" spans="1:15" x14ac:dyDescent="0.25">
      <c r="A441" s="15" t="s">
        <v>467</v>
      </c>
      <c r="B441" s="5" t="s">
        <v>44</v>
      </c>
      <c r="C441" s="5" t="s">
        <v>26</v>
      </c>
      <c r="D441" s="5" t="s">
        <v>28</v>
      </c>
      <c r="E441" s="6">
        <v>45609</v>
      </c>
      <c r="F441" s="21">
        <v>45616</v>
      </c>
      <c r="G441" s="21">
        <v>45616</v>
      </c>
      <c r="H441" s="5">
        <v>200</v>
      </c>
      <c r="I441" s="5">
        <v>196</v>
      </c>
      <c r="J441" s="4" t="s">
        <v>14</v>
      </c>
      <c r="K441">
        <f>Table1[[#This Row],[Delivered Qty]]/Table1[[#This Row],[Ordered Qty]]</f>
        <v>0.98</v>
      </c>
      <c r="L441">
        <f>VLOOKUP(Table1[[#This Row],[Supplier ID]],Suppliers!$A$2:$D$6,4,FALSE)</f>
        <v>7</v>
      </c>
      <c r="M441">
        <f>Table1[[#This Row],[Actual Delivery]]-Table1[[#This Row],[Order Date]]-Table1[[#This Row],[std Lead time]]</f>
        <v>0</v>
      </c>
      <c r="N441">
        <f>IF(AND(Table1[[#This Row],[Status]] = "Delivered", Table1[[#This Row],[Actual Delivery]] &lt;= Table1[[#This Row],[Promised Delivery]],Table1[[#This Row],[FillRate]]&gt;=0.95),1,0)</f>
        <v>1</v>
      </c>
      <c r="O441" t="str">
        <f>VLOOKUP(B441,Products!$A$2:$D$9,3,FALSE)</f>
        <v>Finished Goods</v>
      </c>
    </row>
    <row r="442" spans="1:15" x14ac:dyDescent="0.25">
      <c r="A442" s="14" t="s">
        <v>468</v>
      </c>
      <c r="B442" s="2" t="s">
        <v>37</v>
      </c>
      <c r="C442" s="2" t="s">
        <v>17</v>
      </c>
      <c r="D442" s="2" t="s">
        <v>13</v>
      </c>
      <c r="E442" s="3">
        <v>45617</v>
      </c>
      <c r="F442" s="20">
        <v>45623</v>
      </c>
      <c r="G442" s="20">
        <v>45635</v>
      </c>
      <c r="H442" s="2">
        <v>1890</v>
      </c>
      <c r="I442" s="2">
        <v>1711</v>
      </c>
      <c r="J442" s="4" t="s">
        <v>14</v>
      </c>
      <c r="K442">
        <f>Table1[[#This Row],[Delivered Qty]]/Table1[[#This Row],[Ordered Qty]]</f>
        <v>0.90529100529100526</v>
      </c>
      <c r="L442">
        <f>VLOOKUP(Table1[[#This Row],[Supplier ID]],Suppliers!$A$2:$D$6,4,FALSE)</f>
        <v>6</v>
      </c>
      <c r="M442">
        <f>Table1[[#This Row],[Actual Delivery]]-Table1[[#This Row],[Order Date]]-Table1[[#This Row],[std Lead time]]</f>
        <v>12</v>
      </c>
      <c r="N442">
        <f>IF(AND(Table1[[#This Row],[Status]] = "Delivered", Table1[[#This Row],[Actual Delivery]] &lt;= Table1[[#This Row],[Promised Delivery]],Table1[[#This Row],[FillRate]]&gt;=0.95),1,0)</f>
        <v>0</v>
      </c>
      <c r="O442" t="str">
        <f>VLOOKUP(B442,Products!$A$2:$D$9,3,FALSE)</f>
        <v>Raw Material</v>
      </c>
    </row>
    <row r="443" spans="1:15" x14ac:dyDescent="0.25">
      <c r="A443" s="15" t="s">
        <v>469</v>
      </c>
      <c r="B443" s="5" t="s">
        <v>20</v>
      </c>
      <c r="C443" s="5" t="s">
        <v>57</v>
      </c>
      <c r="D443" s="5" t="s">
        <v>23</v>
      </c>
      <c r="E443" s="6">
        <v>45614</v>
      </c>
      <c r="F443" s="21">
        <v>45635</v>
      </c>
      <c r="G443" s="21">
        <v>45638</v>
      </c>
      <c r="H443" s="5">
        <v>1666</v>
      </c>
      <c r="I443" s="5">
        <v>1574</v>
      </c>
      <c r="J443" s="4" t="s">
        <v>14</v>
      </c>
      <c r="K443">
        <f>Table1[[#This Row],[Delivered Qty]]/Table1[[#This Row],[Ordered Qty]]</f>
        <v>0.94477791116446574</v>
      </c>
      <c r="L443">
        <f>VLOOKUP(Table1[[#This Row],[Supplier ID]],Suppliers!$A$2:$D$6,4,FALSE)</f>
        <v>21</v>
      </c>
      <c r="M443">
        <f>Table1[[#This Row],[Actual Delivery]]-Table1[[#This Row],[Order Date]]-Table1[[#This Row],[std Lead time]]</f>
        <v>3</v>
      </c>
      <c r="N443">
        <f>IF(AND(Table1[[#This Row],[Status]] = "Delivered", Table1[[#This Row],[Actual Delivery]] &lt;= Table1[[#This Row],[Promised Delivery]],Table1[[#This Row],[FillRate]]&gt;=0.95),1,0)</f>
        <v>0</v>
      </c>
      <c r="O443" t="str">
        <f>VLOOKUP(B443,Products!$A$2:$D$9,3,FALSE)</f>
        <v>Raw Material</v>
      </c>
    </row>
    <row r="444" spans="1:15" x14ac:dyDescent="0.25">
      <c r="A444" s="14" t="s">
        <v>470</v>
      </c>
      <c r="B444" s="2" t="s">
        <v>16</v>
      </c>
      <c r="C444" s="2" t="s">
        <v>31</v>
      </c>
      <c r="D444" s="2" t="s">
        <v>28</v>
      </c>
      <c r="E444" s="3">
        <v>45607</v>
      </c>
      <c r="F444" s="20">
        <v>45612</v>
      </c>
      <c r="G444" s="20">
        <v>45615</v>
      </c>
      <c r="H444" s="2">
        <v>1321</v>
      </c>
      <c r="I444" s="2">
        <v>1182</v>
      </c>
      <c r="J444" s="4" t="s">
        <v>14</v>
      </c>
      <c r="K444">
        <f>Table1[[#This Row],[Delivered Qty]]/Table1[[#This Row],[Ordered Qty]]</f>
        <v>0.89477668433005297</v>
      </c>
      <c r="L444">
        <f>VLOOKUP(Table1[[#This Row],[Supplier ID]],Suppliers!$A$2:$D$6,4,FALSE)</f>
        <v>5</v>
      </c>
      <c r="M444">
        <f>Table1[[#This Row],[Actual Delivery]]-Table1[[#This Row],[Order Date]]-Table1[[#This Row],[std Lead time]]</f>
        <v>3</v>
      </c>
      <c r="N444">
        <f>IF(AND(Table1[[#This Row],[Status]] = "Delivered", Table1[[#This Row],[Actual Delivery]] &lt;= Table1[[#This Row],[Promised Delivery]],Table1[[#This Row],[FillRate]]&gt;=0.95),1,0)</f>
        <v>0</v>
      </c>
      <c r="O444" t="str">
        <f>VLOOKUP(B444,Products!$A$2:$D$9,3,FALSE)</f>
        <v>Packaging</v>
      </c>
    </row>
    <row r="445" spans="1:15" x14ac:dyDescent="0.25">
      <c r="A445" s="15" t="s">
        <v>471</v>
      </c>
      <c r="B445" s="5" t="s">
        <v>16</v>
      </c>
      <c r="C445" s="5" t="s">
        <v>26</v>
      </c>
      <c r="D445" s="5" t="s">
        <v>13</v>
      </c>
      <c r="E445" s="6">
        <v>45612</v>
      </c>
      <c r="F445" s="21">
        <v>45619</v>
      </c>
      <c r="G445" s="21">
        <v>45625</v>
      </c>
      <c r="H445" s="5">
        <v>1677</v>
      </c>
      <c r="I445" s="5">
        <v>1459</v>
      </c>
      <c r="J445" s="4" t="s">
        <v>14</v>
      </c>
      <c r="K445">
        <f>Table1[[#This Row],[Delivered Qty]]/Table1[[#This Row],[Ordered Qty]]</f>
        <v>0.87000596302921884</v>
      </c>
      <c r="L445">
        <f>VLOOKUP(Table1[[#This Row],[Supplier ID]],Suppliers!$A$2:$D$6,4,FALSE)</f>
        <v>7</v>
      </c>
      <c r="M445">
        <f>Table1[[#This Row],[Actual Delivery]]-Table1[[#This Row],[Order Date]]-Table1[[#This Row],[std Lead time]]</f>
        <v>6</v>
      </c>
      <c r="N445">
        <f>IF(AND(Table1[[#This Row],[Status]] = "Delivered", Table1[[#This Row],[Actual Delivery]] &lt;= Table1[[#This Row],[Promised Delivery]],Table1[[#This Row],[FillRate]]&gt;=0.95),1,0)</f>
        <v>0</v>
      </c>
      <c r="O445" t="str">
        <f>VLOOKUP(B445,Products!$A$2:$D$9,3,FALSE)</f>
        <v>Packaging</v>
      </c>
    </row>
    <row r="446" spans="1:15" x14ac:dyDescent="0.25">
      <c r="A446" s="14" t="s">
        <v>472</v>
      </c>
      <c r="B446" s="2" t="s">
        <v>37</v>
      </c>
      <c r="C446" s="2" t="s">
        <v>17</v>
      </c>
      <c r="D446" s="2" t="s">
        <v>13</v>
      </c>
      <c r="E446" s="3">
        <v>45603</v>
      </c>
      <c r="F446" s="20">
        <v>45609</v>
      </c>
      <c r="G446" s="20">
        <v>45613</v>
      </c>
      <c r="H446" s="2">
        <v>641</v>
      </c>
      <c r="I446" s="2">
        <v>606</v>
      </c>
      <c r="J446" s="4" t="s">
        <v>14</v>
      </c>
      <c r="K446">
        <f>Table1[[#This Row],[Delivered Qty]]/Table1[[#This Row],[Ordered Qty]]</f>
        <v>0.9453978159126365</v>
      </c>
      <c r="L446">
        <f>VLOOKUP(Table1[[#This Row],[Supplier ID]],Suppliers!$A$2:$D$6,4,FALSE)</f>
        <v>6</v>
      </c>
      <c r="M446">
        <f>Table1[[#This Row],[Actual Delivery]]-Table1[[#This Row],[Order Date]]-Table1[[#This Row],[std Lead time]]</f>
        <v>4</v>
      </c>
      <c r="N446">
        <f>IF(AND(Table1[[#This Row],[Status]] = "Delivered", Table1[[#This Row],[Actual Delivery]] &lt;= Table1[[#This Row],[Promised Delivery]],Table1[[#This Row],[FillRate]]&gt;=0.95),1,0)</f>
        <v>0</v>
      </c>
      <c r="O446" t="str">
        <f>VLOOKUP(B446,Products!$A$2:$D$9,3,FALSE)</f>
        <v>Raw Material</v>
      </c>
    </row>
    <row r="447" spans="1:15" x14ac:dyDescent="0.25">
      <c r="A447" s="15" t="s">
        <v>473</v>
      </c>
      <c r="B447" s="5" t="s">
        <v>20</v>
      </c>
      <c r="C447" s="5" t="s">
        <v>12</v>
      </c>
      <c r="D447" s="5" t="s">
        <v>28</v>
      </c>
      <c r="E447" s="6">
        <v>45621</v>
      </c>
      <c r="F447" s="21">
        <v>45639</v>
      </c>
      <c r="G447" s="21">
        <v>45639</v>
      </c>
      <c r="H447" s="5">
        <v>1915</v>
      </c>
      <c r="I447" s="5">
        <v>1852</v>
      </c>
      <c r="J447" s="4" t="s">
        <v>14</v>
      </c>
      <c r="K447">
        <f>Table1[[#This Row],[Delivered Qty]]/Table1[[#This Row],[Ordered Qty]]</f>
        <v>0.9671018276762402</v>
      </c>
      <c r="L447">
        <f>VLOOKUP(Table1[[#This Row],[Supplier ID]],Suppliers!$A$2:$D$6,4,FALSE)</f>
        <v>18</v>
      </c>
      <c r="M447">
        <f>Table1[[#This Row],[Actual Delivery]]-Table1[[#This Row],[Order Date]]-Table1[[#This Row],[std Lead time]]</f>
        <v>0</v>
      </c>
      <c r="N447">
        <f>IF(AND(Table1[[#This Row],[Status]] = "Delivered", Table1[[#This Row],[Actual Delivery]] &lt;= Table1[[#This Row],[Promised Delivery]],Table1[[#This Row],[FillRate]]&gt;=0.95),1,0)</f>
        <v>1</v>
      </c>
      <c r="O447" t="str">
        <f>VLOOKUP(B447,Products!$A$2:$D$9,3,FALSE)</f>
        <v>Raw Material</v>
      </c>
    </row>
    <row r="448" spans="1:15" x14ac:dyDescent="0.25">
      <c r="A448" s="14" t="s">
        <v>474</v>
      </c>
      <c r="B448" s="2" t="s">
        <v>16</v>
      </c>
      <c r="C448" s="2" t="s">
        <v>57</v>
      </c>
      <c r="D448" s="2" t="s">
        <v>18</v>
      </c>
      <c r="E448" s="3">
        <v>45618</v>
      </c>
      <c r="F448" s="20">
        <v>45639</v>
      </c>
      <c r="G448" s="20">
        <v>45646</v>
      </c>
      <c r="H448" s="2">
        <v>1286</v>
      </c>
      <c r="I448" s="2">
        <v>1211</v>
      </c>
      <c r="J448" s="4" t="s">
        <v>14</v>
      </c>
      <c r="K448">
        <f>Table1[[#This Row],[Delivered Qty]]/Table1[[#This Row],[Ordered Qty]]</f>
        <v>0.94167962674961114</v>
      </c>
      <c r="L448">
        <f>VLOOKUP(Table1[[#This Row],[Supplier ID]],Suppliers!$A$2:$D$6,4,FALSE)</f>
        <v>21</v>
      </c>
      <c r="M448">
        <f>Table1[[#This Row],[Actual Delivery]]-Table1[[#This Row],[Order Date]]-Table1[[#This Row],[std Lead time]]</f>
        <v>7</v>
      </c>
      <c r="N448">
        <f>IF(AND(Table1[[#This Row],[Status]] = "Delivered", Table1[[#This Row],[Actual Delivery]] &lt;= Table1[[#This Row],[Promised Delivery]],Table1[[#This Row],[FillRate]]&gt;=0.95),1,0)</f>
        <v>0</v>
      </c>
      <c r="O448" t="str">
        <f>VLOOKUP(B448,Products!$A$2:$D$9,3,FALSE)</f>
        <v>Packaging</v>
      </c>
    </row>
    <row r="449" spans="1:15" x14ac:dyDescent="0.25">
      <c r="A449" s="15" t="s">
        <v>475</v>
      </c>
      <c r="B449" s="5" t="s">
        <v>22</v>
      </c>
      <c r="C449" s="5" t="s">
        <v>17</v>
      </c>
      <c r="D449" s="5" t="s">
        <v>18</v>
      </c>
      <c r="E449" s="6">
        <v>45613</v>
      </c>
      <c r="F449" s="21">
        <v>45619</v>
      </c>
      <c r="G449" s="21">
        <v>45617</v>
      </c>
      <c r="H449" s="5">
        <v>1696</v>
      </c>
      <c r="I449" s="5">
        <v>1664</v>
      </c>
      <c r="J449" s="4" t="s">
        <v>14</v>
      </c>
      <c r="K449">
        <f>Table1[[#This Row],[Delivered Qty]]/Table1[[#This Row],[Ordered Qty]]</f>
        <v>0.98113207547169812</v>
      </c>
      <c r="L449">
        <f>VLOOKUP(Table1[[#This Row],[Supplier ID]],Suppliers!$A$2:$D$6,4,FALSE)</f>
        <v>6</v>
      </c>
      <c r="M449">
        <f>Table1[[#This Row],[Actual Delivery]]-Table1[[#This Row],[Order Date]]-Table1[[#This Row],[std Lead time]]</f>
        <v>-2</v>
      </c>
      <c r="N449">
        <f>IF(AND(Table1[[#This Row],[Status]] = "Delivered", Table1[[#This Row],[Actual Delivery]] &lt;= Table1[[#This Row],[Promised Delivery]],Table1[[#This Row],[FillRate]]&gt;=0.95),1,0)</f>
        <v>1</v>
      </c>
      <c r="O449" t="str">
        <f>VLOOKUP(B449,Products!$A$2:$D$9,3,FALSE)</f>
        <v>Finished Goods</v>
      </c>
    </row>
    <row r="450" spans="1:15" x14ac:dyDescent="0.25">
      <c r="A450" s="14" t="s">
        <v>476</v>
      </c>
      <c r="B450" s="2" t="s">
        <v>16</v>
      </c>
      <c r="C450" s="2" t="s">
        <v>57</v>
      </c>
      <c r="D450" s="2" t="s">
        <v>23</v>
      </c>
      <c r="E450" s="3">
        <v>45613</v>
      </c>
      <c r="F450" s="20">
        <v>45634</v>
      </c>
      <c r="G450" s="20">
        <v>45634</v>
      </c>
      <c r="H450" s="2">
        <v>1618</v>
      </c>
      <c r="I450" s="2">
        <v>1533</v>
      </c>
      <c r="J450" s="4" t="s">
        <v>14</v>
      </c>
      <c r="K450">
        <f>Table1[[#This Row],[Delivered Qty]]/Table1[[#This Row],[Ordered Qty]]</f>
        <v>0.94746600741656362</v>
      </c>
      <c r="L450">
        <f>VLOOKUP(Table1[[#This Row],[Supplier ID]],Suppliers!$A$2:$D$6,4,FALSE)</f>
        <v>21</v>
      </c>
      <c r="M450">
        <f>Table1[[#This Row],[Actual Delivery]]-Table1[[#This Row],[Order Date]]-Table1[[#This Row],[std Lead time]]</f>
        <v>0</v>
      </c>
      <c r="N450">
        <f>IF(AND(Table1[[#This Row],[Status]] = "Delivered", Table1[[#This Row],[Actual Delivery]] &lt;= Table1[[#This Row],[Promised Delivery]],Table1[[#This Row],[FillRate]]&gt;=0.95),1,0)</f>
        <v>0</v>
      </c>
      <c r="O450" t="str">
        <f>VLOOKUP(B450,Products!$A$2:$D$9,3,FALSE)</f>
        <v>Packaging</v>
      </c>
    </row>
    <row r="451" spans="1:15" x14ac:dyDescent="0.25">
      <c r="A451" s="15" t="s">
        <v>477</v>
      </c>
      <c r="B451" s="5" t="s">
        <v>37</v>
      </c>
      <c r="C451" s="5" t="s">
        <v>57</v>
      </c>
      <c r="D451" s="5" t="s">
        <v>23</v>
      </c>
      <c r="E451" s="6">
        <v>45606</v>
      </c>
      <c r="F451" s="21">
        <v>45627</v>
      </c>
      <c r="G451" s="21">
        <v>45629</v>
      </c>
      <c r="H451" s="5">
        <v>1045</v>
      </c>
      <c r="I451" s="5">
        <v>1003</v>
      </c>
      <c r="J451" s="4" t="s">
        <v>14</v>
      </c>
      <c r="K451">
        <f>Table1[[#This Row],[Delivered Qty]]/Table1[[#This Row],[Ordered Qty]]</f>
        <v>0.95980861244019133</v>
      </c>
      <c r="L451">
        <f>VLOOKUP(Table1[[#This Row],[Supplier ID]],Suppliers!$A$2:$D$6,4,FALSE)</f>
        <v>21</v>
      </c>
      <c r="M451">
        <f>Table1[[#This Row],[Actual Delivery]]-Table1[[#This Row],[Order Date]]-Table1[[#This Row],[std Lead time]]</f>
        <v>2</v>
      </c>
      <c r="N451">
        <f>IF(AND(Table1[[#This Row],[Status]] = "Delivered", Table1[[#This Row],[Actual Delivery]] &lt;= Table1[[#This Row],[Promised Delivery]],Table1[[#This Row],[FillRate]]&gt;=0.95),1,0)</f>
        <v>0</v>
      </c>
      <c r="O451" t="str">
        <f>VLOOKUP(B451,Products!$A$2:$D$9,3,FALSE)</f>
        <v>Raw Material</v>
      </c>
    </row>
    <row r="452" spans="1:15" x14ac:dyDescent="0.25">
      <c r="A452" s="14" t="s">
        <v>478</v>
      </c>
      <c r="B452" s="2" t="s">
        <v>37</v>
      </c>
      <c r="C452" s="2" t="s">
        <v>17</v>
      </c>
      <c r="D452" s="2" t="s">
        <v>23</v>
      </c>
      <c r="E452" s="3">
        <v>45619</v>
      </c>
      <c r="F452" s="20">
        <v>45625</v>
      </c>
      <c r="G452" s="20">
        <v>45625</v>
      </c>
      <c r="H452" s="2">
        <v>1663</v>
      </c>
      <c r="I452" s="2">
        <v>1545</v>
      </c>
      <c r="J452" s="4" t="s">
        <v>14</v>
      </c>
      <c r="K452">
        <f>Table1[[#This Row],[Delivered Qty]]/Table1[[#This Row],[Ordered Qty]]</f>
        <v>0.92904389657245945</v>
      </c>
      <c r="L452">
        <f>VLOOKUP(Table1[[#This Row],[Supplier ID]],Suppliers!$A$2:$D$6,4,FALSE)</f>
        <v>6</v>
      </c>
      <c r="M452">
        <f>Table1[[#This Row],[Actual Delivery]]-Table1[[#This Row],[Order Date]]-Table1[[#This Row],[std Lead time]]</f>
        <v>0</v>
      </c>
      <c r="N452">
        <f>IF(AND(Table1[[#This Row],[Status]] = "Delivered", Table1[[#This Row],[Actual Delivery]] &lt;= Table1[[#This Row],[Promised Delivery]],Table1[[#This Row],[FillRate]]&gt;=0.95),1,0)</f>
        <v>0</v>
      </c>
      <c r="O452" t="str">
        <f>VLOOKUP(B452,Products!$A$2:$D$9,3,FALSE)</f>
        <v>Raw Material</v>
      </c>
    </row>
    <row r="453" spans="1:15" x14ac:dyDescent="0.25">
      <c r="A453" s="15" t="s">
        <v>479</v>
      </c>
      <c r="B453" s="5" t="s">
        <v>30</v>
      </c>
      <c r="C453" s="5" t="s">
        <v>31</v>
      </c>
      <c r="D453" s="5" t="s">
        <v>13</v>
      </c>
      <c r="E453" s="6">
        <v>45613</v>
      </c>
      <c r="F453" s="21">
        <v>45618</v>
      </c>
      <c r="G453" s="21">
        <v>45621</v>
      </c>
      <c r="H453" s="5">
        <v>1351</v>
      </c>
      <c r="I453" s="5">
        <v>1280</v>
      </c>
      <c r="J453" s="4" t="s">
        <v>14</v>
      </c>
      <c r="K453">
        <f>Table1[[#This Row],[Delivered Qty]]/Table1[[#This Row],[Ordered Qty]]</f>
        <v>0.94744633604737227</v>
      </c>
      <c r="L453">
        <f>VLOOKUP(Table1[[#This Row],[Supplier ID]],Suppliers!$A$2:$D$6,4,FALSE)</f>
        <v>5</v>
      </c>
      <c r="M453">
        <f>Table1[[#This Row],[Actual Delivery]]-Table1[[#This Row],[Order Date]]-Table1[[#This Row],[std Lead time]]</f>
        <v>3</v>
      </c>
      <c r="N453">
        <f>IF(AND(Table1[[#This Row],[Status]] = "Delivered", Table1[[#This Row],[Actual Delivery]] &lt;= Table1[[#This Row],[Promised Delivery]],Table1[[#This Row],[FillRate]]&gt;=0.95),1,0)</f>
        <v>0</v>
      </c>
      <c r="O453" t="str">
        <f>VLOOKUP(B453,Products!$A$2:$D$9,3,FALSE)</f>
        <v>Finished Goods</v>
      </c>
    </row>
    <row r="454" spans="1:15" x14ac:dyDescent="0.25">
      <c r="A454" s="14" t="s">
        <v>480</v>
      </c>
      <c r="B454" s="2" t="s">
        <v>22</v>
      </c>
      <c r="C454" s="2" t="s">
        <v>17</v>
      </c>
      <c r="D454" s="2" t="s">
        <v>23</v>
      </c>
      <c r="E454" s="3">
        <v>45624</v>
      </c>
      <c r="F454" s="20">
        <v>45630</v>
      </c>
      <c r="G454" s="20">
        <v>45635</v>
      </c>
      <c r="H454" s="2">
        <v>418</v>
      </c>
      <c r="I454" s="2">
        <v>377</v>
      </c>
      <c r="J454" s="4" t="s">
        <v>14</v>
      </c>
      <c r="K454">
        <f>Table1[[#This Row],[Delivered Qty]]/Table1[[#This Row],[Ordered Qty]]</f>
        <v>0.90191387559808611</v>
      </c>
      <c r="L454">
        <f>VLOOKUP(Table1[[#This Row],[Supplier ID]],Suppliers!$A$2:$D$6,4,FALSE)</f>
        <v>6</v>
      </c>
      <c r="M454">
        <f>Table1[[#This Row],[Actual Delivery]]-Table1[[#This Row],[Order Date]]-Table1[[#This Row],[std Lead time]]</f>
        <v>5</v>
      </c>
      <c r="N454">
        <f>IF(AND(Table1[[#This Row],[Status]] = "Delivered", Table1[[#This Row],[Actual Delivery]] &lt;= Table1[[#This Row],[Promised Delivery]],Table1[[#This Row],[FillRate]]&gt;=0.95),1,0)</f>
        <v>0</v>
      </c>
      <c r="O454" t="str">
        <f>VLOOKUP(B454,Products!$A$2:$D$9,3,FALSE)</f>
        <v>Finished Goods</v>
      </c>
    </row>
    <row r="455" spans="1:15" x14ac:dyDescent="0.25">
      <c r="A455" s="15" t="s">
        <v>481</v>
      </c>
      <c r="B455" s="5" t="s">
        <v>33</v>
      </c>
      <c r="C455" s="5" t="s">
        <v>26</v>
      </c>
      <c r="D455" s="5" t="s">
        <v>28</v>
      </c>
      <c r="E455" s="6">
        <v>45603</v>
      </c>
      <c r="F455" s="21">
        <v>45610</v>
      </c>
      <c r="G455" s="21">
        <v>45612</v>
      </c>
      <c r="H455" s="5">
        <v>786</v>
      </c>
      <c r="I455" s="5">
        <v>761</v>
      </c>
      <c r="J455" s="4" t="s">
        <v>14</v>
      </c>
      <c r="K455">
        <f>Table1[[#This Row],[Delivered Qty]]/Table1[[#This Row],[Ordered Qty]]</f>
        <v>0.96819338422391854</v>
      </c>
      <c r="L455">
        <f>VLOOKUP(Table1[[#This Row],[Supplier ID]],Suppliers!$A$2:$D$6,4,FALSE)</f>
        <v>7</v>
      </c>
      <c r="M455">
        <f>Table1[[#This Row],[Actual Delivery]]-Table1[[#This Row],[Order Date]]-Table1[[#This Row],[std Lead time]]</f>
        <v>2</v>
      </c>
      <c r="N455">
        <f>IF(AND(Table1[[#This Row],[Status]] = "Delivered", Table1[[#This Row],[Actual Delivery]] &lt;= Table1[[#This Row],[Promised Delivery]],Table1[[#This Row],[FillRate]]&gt;=0.95),1,0)</f>
        <v>0</v>
      </c>
      <c r="O455" t="str">
        <f>VLOOKUP(B455,Products!$A$2:$D$9,3,FALSE)</f>
        <v>Raw Material</v>
      </c>
    </row>
    <row r="456" spans="1:15" x14ac:dyDescent="0.25">
      <c r="A456" s="14" t="s">
        <v>482</v>
      </c>
      <c r="B456" s="2" t="s">
        <v>33</v>
      </c>
      <c r="C456" s="2" t="s">
        <v>26</v>
      </c>
      <c r="D456" s="2" t="s">
        <v>23</v>
      </c>
      <c r="E456" s="3">
        <v>45603</v>
      </c>
      <c r="F456" s="20">
        <v>45610</v>
      </c>
      <c r="G456" s="20">
        <v>45609</v>
      </c>
      <c r="H456" s="2">
        <v>409</v>
      </c>
      <c r="I456" s="2">
        <v>393</v>
      </c>
      <c r="J456" s="4" t="s">
        <v>14</v>
      </c>
      <c r="K456">
        <f>Table1[[#This Row],[Delivered Qty]]/Table1[[#This Row],[Ordered Qty]]</f>
        <v>0.96088019559902205</v>
      </c>
      <c r="L456">
        <f>VLOOKUP(Table1[[#This Row],[Supplier ID]],Suppliers!$A$2:$D$6,4,FALSE)</f>
        <v>7</v>
      </c>
      <c r="M456">
        <f>Table1[[#This Row],[Actual Delivery]]-Table1[[#This Row],[Order Date]]-Table1[[#This Row],[std Lead time]]</f>
        <v>-1</v>
      </c>
      <c r="N456">
        <f>IF(AND(Table1[[#This Row],[Status]] = "Delivered", Table1[[#This Row],[Actual Delivery]] &lt;= Table1[[#This Row],[Promised Delivery]],Table1[[#This Row],[FillRate]]&gt;=0.95),1,0)</f>
        <v>1</v>
      </c>
      <c r="O456" t="str">
        <f>VLOOKUP(B456,Products!$A$2:$D$9,3,FALSE)</f>
        <v>Raw Material</v>
      </c>
    </row>
    <row r="457" spans="1:15" x14ac:dyDescent="0.25">
      <c r="A457" s="15" t="s">
        <v>483</v>
      </c>
      <c r="B457" s="5" t="s">
        <v>20</v>
      </c>
      <c r="C457" s="5" t="s">
        <v>17</v>
      </c>
      <c r="D457" s="5" t="s">
        <v>18</v>
      </c>
      <c r="E457" s="6">
        <v>45604</v>
      </c>
      <c r="F457" s="21">
        <v>45610</v>
      </c>
      <c r="G457" s="21">
        <v>45608</v>
      </c>
      <c r="H457" s="5">
        <v>981</v>
      </c>
      <c r="I457" s="5">
        <v>920</v>
      </c>
      <c r="J457" s="4" t="s">
        <v>14</v>
      </c>
      <c r="K457">
        <f>Table1[[#This Row],[Delivered Qty]]/Table1[[#This Row],[Ordered Qty]]</f>
        <v>0.93781855249745161</v>
      </c>
      <c r="L457">
        <f>VLOOKUP(Table1[[#This Row],[Supplier ID]],Suppliers!$A$2:$D$6,4,FALSE)</f>
        <v>6</v>
      </c>
      <c r="M457">
        <f>Table1[[#This Row],[Actual Delivery]]-Table1[[#This Row],[Order Date]]-Table1[[#This Row],[std Lead time]]</f>
        <v>-2</v>
      </c>
      <c r="N457">
        <f>IF(AND(Table1[[#This Row],[Status]] = "Delivered", Table1[[#This Row],[Actual Delivery]] &lt;= Table1[[#This Row],[Promised Delivery]],Table1[[#This Row],[FillRate]]&gt;=0.95),1,0)</f>
        <v>0</v>
      </c>
      <c r="O457" t="str">
        <f>VLOOKUP(B457,Products!$A$2:$D$9,3,FALSE)</f>
        <v>Raw Material</v>
      </c>
    </row>
    <row r="458" spans="1:15" x14ac:dyDescent="0.25">
      <c r="A458" s="14" t="s">
        <v>484</v>
      </c>
      <c r="B458" s="2" t="s">
        <v>30</v>
      </c>
      <c r="C458" s="2" t="s">
        <v>17</v>
      </c>
      <c r="D458" s="2" t="s">
        <v>28</v>
      </c>
      <c r="E458" s="3">
        <v>45597</v>
      </c>
      <c r="F458" s="20">
        <v>45603</v>
      </c>
      <c r="G458" s="20">
        <v>45602</v>
      </c>
      <c r="H458" s="2">
        <v>1899</v>
      </c>
      <c r="I458" s="2">
        <v>1751</v>
      </c>
      <c r="J458" s="4" t="s">
        <v>14</v>
      </c>
      <c r="K458">
        <f>Table1[[#This Row],[Delivered Qty]]/Table1[[#This Row],[Ordered Qty]]</f>
        <v>0.92206424433912582</v>
      </c>
      <c r="L458">
        <f>VLOOKUP(Table1[[#This Row],[Supplier ID]],Suppliers!$A$2:$D$6,4,FALSE)</f>
        <v>6</v>
      </c>
      <c r="M458">
        <f>Table1[[#This Row],[Actual Delivery]]-Table1[[#This Row],[Order Date]]-Table1[[#This Row],[std Lead time]]</f>
        <v>-1</v>
      </c>
      <c r="N458">
        <f>IF(AND(Table1[[#This Row],[Status]] = "Delivered", Table1[[#This Row],[Actual Delivery]] &lt;= Table1[[#This Row],[Promised Delivery]],Table1[[#This Row],[FillRate]]&gt;=0.95),1,0)</f>
        <v>0</v>
      </c>
      <c r="O458" t="str">
        <f>VLOOKUP(B458,Products!$A$2:$D$9,3,FALSE)</f>
        <v>Finished Goods</v>
      </c>
    </row>
    <row r="459" spans="1:15" x14ac:dyDescent="0.25">
      <c r="A459" s="15" t="s">
        <v>485</v>
      </c>
      <c r="B459" s="5" t="s">
        <v>30</v>
      </c>
      <c r="C459" s="5" t="s">
        <v>17</v>
      </c>
      <c r="D459" s="5" t="s">
        <v>13</v>
      </c>
      <c r="E459" s="6">
        <v>45621</v>
      </c>
      <c r="F459" s="21">
        <v>45627</v>
      </c>
      <c r="G459" s="21">
        <v>45625</v>
      </c>
      <c r="H459" s="5">
        <v>1598</v>
      </c>
      <c r="I459" s="5">
        <v>1450</v>
      </c>
      <c r="J459" s="4" t="s">
        <v>14</v>
      </c>
      <c r="K459">
        <f>Table1[[#This Row],[Delivered Qty]]/Table1[[#This Row],[Ordered Qty]]</f>
        <v>0.90738423028785986</v>
      </c>
      <c r="L459">
        <f>VLOOKUP(Table1[[#This Row],[Supplier ID]],Suppliers!$A$2:$D$6,4,FALSE)</f>
        <v>6</v>
      </c>
      <c r="M459">
        <f>Table1[[#This Row],[Actual Delivery]]-Table1[[#This Row],[Order Date]]-Table1[[#This Row],[std Lead time]]</f>
        <v>-2</v>
      </c>
      <c r="N459">
        <f>IF(AND(Table1[[#This Row],[Status]] = "Delivered", Table1[[#This Row],[Actual Delivery]] &lt;= Table1[[#This Row],[Promised Delivery]],Table1[[#This Row],[FillRate]]&gt;=0.95),1,0)</f>
        <v>0</v>
      </c>
      <c r="O459" t="str">
        <f>VLOOKUP(B459,Products!$A$2:$D$9,3,FALSE)</f>
        <v>Finished Goods</v>
      </c>
    </row>
    <row r="460" spans="1:15" x14ac:dyDescent="0.25">
      <c r="A460" s="14" t="s">
        <v>486</v>
      </c>
      <c r="B460" s="2" t="s">
        <v>33</v>
      </c>
      <c r="C460" s="2" t="s">
        <v>17</v>
      </c>
      <c r="D460" s="2" t="s">
        <v>28</v>
      </c>
      <c r="E460" s="3">
        <v>45609</v>
      </c>
      <c r="F460" s="20">
        <v>45615</v>
      </c>
      <c r="G460" s="20">
        <v>45615</v>
      </c>
      <c r="H460" s="2">
        <v>741</v>
      </c>
      <c r="I460" s="2">
        <v>676</v>
      </c>
      <c r="J460" s="4" t="s">
        <v>14</v>
      </c>
      <c r="K460">
        <f>Table1[[#This Row],[Delivered Qty]]/Table1[[#This Row],[Ordered Qty]]</f>
        <v>0.91228070175438591</v>
      </c>
      <c r="L460">
        <f>VLOOKUP(Table1[[#This Row],[Supplier ID]],Suppliers!$A$2:$D$6,4,FALSE)</f>
        <v>6</v>
      </c>
      <c r="M460">
        <f>Table1[[#This Row],[Actual Delivery]]-Table1[[#This Row],[Order Date]]-Table1[[#This Row],[std Lead time]]</f>
        <v>0</v>
      </c>
      <c r="N460">
        <f>IF(AND(Table1[[#This Row],[Status]] = "Delivered", Table1[[#This Row],[Actual Delivery]] &lt;= Table1[[#This Row],[Promised Delivery]],Table1[[#This Row],[FillRate]]&gt;=0.95),1,0)</f>
        <v>0</v>
      </c>
      <c r="O460" t="str">
        <f>VLOOKUP(B460,Products!$A$2:$D$9,3,FALSE)</f>
        <v>Raw Material</v>
      </c>
    </row>
    <row r="461" spans="1:15" x14ac:dyDescent="0.25">
      <c r="A461" s="15" t="s">
        <v>487</v>
      </c>
      <c r="B461" s="5" t="s">
        <v>37</v>
      </c>
      <c r="C461" s="5" t="s">
        <v>26</v>
      </c>
      <c r="D461" s="5" t="s">
        <v>23</v>
      </c>
      <c r="E461" s="6">
        <v>45611</v>
      </c>
      <c r="F461" s="21">
        <v>45618</v>
      </c>
      <c r="G461" s="21">
        <v>45617</v>
      </c>
      <c r="H461" s="5">
        <v>1422</v>
      </c>
      <c r="I461" s="5">
        <v>1287</v>
      </c>
      <c r="J461" s="4" t="s">
        <v>14</v>
      </c>
      <c r="K461">
        <f>Table1[[#This Row],[Delivered Qty]]/Table1[[#This Row],[Ordered Qty]]</f>
        <v>0.90506329113924056</v>
      </c>
      <c r="L461">
        <f>VLOOKUP(Table1[[#This Row],[Supplier ID]],Suppliers!$A$2:$D$6,4,FALSE)</f>
        <v>7</v>
      </c>
      <c r="M461">
        <f>Table1[[#This Row],[Actual Delivery]]-Table1[[#This Row],[Order Date]]-Table1[[#This Row],[std Lead time]]</f>
        <v>-1</v>
      </c>
      <c r="N461">
        <f>IF(AND(Table1[[#This Row],[Status]] = "Delivered", Table1[[#This Row],[Actual Delivery]] &lt;= Table1[[#This Row],[Promised Delivery]],Table1[[#This Row],[FillRate]]&gt;=0.95),1,0)</f>
        <v>0</v>
      </c>
      <c r="O461" t="str">
        <f>VLOOKUP(B461,Products!$A$2:$D$9,3,FALSE)</f>
        <v>Raw Material</v>
      </c>
    </row>
    <row r="462" spans="1:15" x14ac:dyDescent="0.25">
      <c r="A462" s="14" t="s">
        <v>488</v>
      </c>
      <c r="B462" s="2" t="s">
        <v>37</v>
      </c>
      <c r="C462" s="2" t="s">
        <v>57</v>
      </c>
      <c r="D462" s="2" t="s">
        <v>23</v>
      </c>
      <c r="E462" s="3">
        <v>45599</v>
      </c>
      <c r="F462" s="20">
        <v>45620</v>
      </c>
      <c r="G462" s="20">
        <v>45618</v>
      </c>
      <c r="H462" s="2">
        <v>1266</v>
      </c>
      <c r="I462" s="2">
        <v>1148</v>
      </c>
      <c r="J462" s="4" t="s">
        <v>14</v>
      </c>
      <c r="K462">
        <f>Table1[[#This Row],[Delivered Qty]]/Table1[[#This Row],[Ordered Qty]]</f>
        <v>0.90679304897314372</v>
      </c>
      <c r="L462">
        <f>VLOOKUP(Table1[[#This Row],[Supplier ID]],Suppliers!$A$2:$D$6,4,FALSE)</f>
        <v>21</v>
      </c>
      <c r="M462">
        <f>Table1[[#This Row],[Actual Delivery]]-Table1[[#This Row],[Order Date]]-Table1[[#This Row],[std Lead time]]</f>
        <v>-2</v>
      </c>
      <c r="N462">
        <f>IF(AND(Table1[[#This Row],[Status]] = "Delivered", Table1[[#This Row],[Actual Delivery]] &lt;= Table1[[#This Row],[Promised Delivery]],Table1[[#This Row],[FillRate]]&gt;=0.95),1,0)</f>
        <v>0</v>
      </c>
      <c r="O462" t="str">
        <f>VLOOKUP(B462,Products!$A$2:$D$9,3,FALSE)</f>
        <v>Raw Material</v>
      </c>
    </row>
    <row r="463" spans="1:15" x14ac:dyDescent="0.25">
      <c r="A463" s="15" t="s">
        <v>489</v>
      </c>
      <c r="B463" s="5" t="s">
        <v>33</v>
      </c>
      <c r="C463" s="5" t="s">
        <v>57</v>
      </c>
      <c r="D463" s="5" t="s">
        <v>18</v>
      </c>
      <c r="E463" s="6">
        <v>45599</v>
      </c>
      <c r="F463" s="21">
        <v>45620</v>
      </c>
      <c r="G463" s="21">
        <v>45618</v>
      </c>
      <c r="H463" s="5">
        <v>1558</v>
      </c>
      <c r="I463" s="5">
        <v>1453</v>
      </c>
      <c r="J463" s="4" t="s">
        <v>14</v>
      </c>
      <c r="K463">
        <f>Table1[[#This Row],[Delivered Qty]]/Table1[[#This Row],[Ordered Qty]]</f>
        <v>0.93260590500641849</v>
      </c>
      <c r="L463">
        <f>VLOOKUP(Table1[[#This Row],[Supplier ID]],Suppliers!$A$2:$D$6,4,FALSE)</f>
        <v>21</v>
      </c>
      <c r="M463">
        <f>Table1[[#This Row],[Actual Delivery]]-Table1[[#This Row],[Order Date]]-Table1[[#This Row],[std Lead time]]</f>
        <v>-2</v>
      </c>
      <c r="N463">
        <f>IF(AND(Table1[[#This Row],[Status]] = "Delivered", Table1[[#This Row],[Actual Delivery]] &lt;= Table1[[#This Row],[Promised Delivery]],Table1[[#This Row],[FillRate]]&gt;=0.95),1,0)</f>
        <v>0</v>
      </c>
      <c r="O463" t="str">
        <f>VLOOKUP(B463,Products!$A$2:$D$9,3,FALSE)</f>
        <v>Raw Material</v>
      </c>
    </row>
    <row r="464" spans="1:15" x14ac:dyDescent="0.25">
      <c r="A464" s="14" t="s">
        <v>490</v>
      </c>
      <c r="B464" s="2" t="s">
        <v>30</v>
      </c>
      <c r="C464" s="2" t="s">
        <v>12</v>
      </c>
      <c r="D464" s="2" t="s">
        <v>13</v>
      </c>
      <c r="E464" s="3">
        <v>45621</v>
      </c>
      <c r="F464" s="20">
        <v>45639</v>
      </c>
      <c r="G464" s="20">
        <v>45646</v>
      </c>
      <c r="H464" s="2">
        <v>434</v>
      </c>
      <c r="I464" s="2">
        <v>419</v>
      </c>
      <c r="J464" s="4" t="s">
        <v>14</v>
      </c>
      <c r="K464">
        <f>Table1[[#This Row],[Delivered Qty]]/Table1[[#This Row],[Ordered Qty]]</f>
        <v>0.96543778801843316</v>
      </c>
      <c r="L464">
        <f>VLOOKUP(Table1[[#This Row],[Supplier ID]],Suppliers!$A$2:$D$6,4,FALSE)</f>
        <v>18</v>
      </c>
      <c r="M464">
        <f>Table1[[#This Row],[Actual Delivery]]-Table1[[#This Row],[Order Date]]-Table1[[#This Row],[std Lead time]]</f>
        <v>7</v>
      </c>
      <c r="N464">
        <f>IF(AND(Table1[[#This Row],[Status]] = "Delivered", Table1[[#This Row],[Actual Delivery]] &lt;= Table1[[#This Row],[Promised Delivery]],Table1[[#This Row],[FillRate]]&gt;=0.95),1,0)</f>
        <v>0</v>
      </c>
      <c r="O464" t="str">
        <f>VLOOKUP(B464,Products!$A$2:$D$9,3,FALSE)</f>
        <v>Finished Goods</v>
      </c>
    </row>
    <row r="465" spans="1:15" x14ac:dyDescent="0.25">
      <c r="A465" s="15" t="s">
        <v>491</v>
      </c>
      <c r="B465" s="5" t="s">
        <v>44</v>
      </c>
      <c r="C465" s="5" t="s">
        <v>31</v>
      </c>
      <c r="D465" s="5" t="s">
        <v>13</v>
      </c>
      <c r="E465" s="6">
        <v>45598</v>
      </c>
      <c r="F465" s="21">
        <v>45603</v>
      </c>
      <c r="G465" s="21">
        <v>45601</v>
      </c>
      <c r="H465" s="5">
        <v>990</v>
      </c>
      <c r="I465" s="5">
        <v>916</v>
      </c>
      <c r="J465" s="4" t="s">
        <v>14</v>
      </c>
      <c r="K465">
        <f>Table1[[#This Row],[Delivered Qty]]/Table1[[#This Row],[Ordered Qty]]</f>
        <v>0.92525252525252522</v>
      </c>
      <c r="L465">
        <f>VLOOKUP(Table1[[#This Row],[Supplier ID]],Suppliers!$A$2:$D$6,4,FALSE)</f>
        <v>5</v>
      </c>
      <c r="M465">
        <f>Table1[[#This Row],[Actual Delivery]]-Table1[[#This Row],[Order Date]]-Table1[[#This Row],[std Lead time]]</f>
        <v>-2</v>
      </c>
      <c r="N465">
        <f>IF(AND(Table1[[#This Row],[Status]] = "Delivered", Table1[[#This Row],[Actual Delivery]] &lt;= Table1[[#This Row],[Promised Delivery]],Table1[[#This Row],[FillRate]]&gt;=0.95),1,0)</f>
        <v>0</v>
      </c>
      <c r="O465" t="str">
        <f>VLOOKUP(B465,Products!$A$2:$D$9,3,FALSE)</f>
        <v>Finished Goods</v>
      </c>
    </row>
    <row r="466" spans="1:15" x14ac:dyDescent="0.25">
      <c r="A466" s="14" t="s">
        <v>492</v>
      </c>
      <c r="B466" s="2" t="s">
        <v>37</v>
      </c>
      <c r="C466" s="2" t="s">
        <v>26</v>
      </c>
      <c r="D466" s="2" t="s">
        <v>23</v>
      </c>
      <c r="E466" s="3">
        <v>45613</v>
      </c>
      <c r="F466" s="20">
        <v>45620</v>
      </c>
      <c r="G466" s="20">
        <v>45619</v>
      </c>
      <c r="H466" s="2">
        <v>1534</v>
      </c>
      <c r="I466" s="2">
        <v>1410</v>
      </c>
      <c r="J466" s="4" t="s">
        <v>14</v>
      </c>
      <c r="K466">
        <f>Table1[[#This Row],[Delivered Qty]]/Table1[[#This Row],[Ordered Qty]]</f>
        <v>0.91916558018252936</v>
      </c>
      <c r="L466">
        <f>VLOOKUP(Table1[[#This Row],[Supplier ID]],Suppliers!$A$2:$D$6,4,FALSE)</f>
        <v>7</v>
      </c>
      <c r="M466">
        <f>Table1[[#This Row],[Actual Delivery]]-Table1[[#This Row],[Order Date]]-Table1[[#This Row],[std Lead time]]</f>
        <v>-1</v>
      </c>
      <c r="N466">
        <f>IF(AND(Table1[[#This Row],[Status]] = "Delivered", Table1[[#This Row],[Actual Delivery]] &lt;= Table1[[#This Row],[Promised Delivery]],Table1[[#This Row],[FillRate]]&gt;=0.95),1,0)</f>
        <v>0</v>
      </c>
      <c r="O466" t="str">
        <f>VLOOKUP(B466,Products!$A$2:$D$9,3,FALSE)</f>
        <v>Raw Material</v>
      </c>
    </row>
    <row r="467" spans="1:15" x14ac:dyDescent="0.25">
      <c r="A467" s="15" t="s">
        <v>493</v>
      </c>
      <c r="B467" s="5" t="s">
        <v>16</v>
      </c>
      <c r="C467" s="5" t="s">
        <v>26</v>
      </c>
      <c r="D467" s="5" t="s">
        <v>13</v>
      </c>
      <c r="E467" s="6">
        <v>45621</v>
      </c>
      <c r="F467" s="21">
        <v>45628</v>
      </c>
      <c r="G467" s="21">
        <v>45626</v>
      </c>
      <c r="H467" s="5">
        <v>1572</v>
      </c>
      <c r="I467" s="5">
        <v>1443</v>
      </c>
      <c r="J467" s="4" t="s">
        <v>14</v>
      </c>
      <c r="K467">
        <f>Table1[[#This Row],[Delivered Qty]]/Table1[[#This Row],[Ordered Qty]]</f>
        <v>0.91793893129770987</v>
      </c>
      <c r="L467">
        <f>VLOOKUP(Table1[[#This Row],[Supplier ID]],Suppliers!$A$2:$D$6,4,FALSE)</f>
        <v>7</v>
      </c>
      <c r="M467">
        <f>Table1[[#This Row],[Actual Delivery]]-Table1[[#This Row],[Order Date]]-Table1[[#This Row],[std Lead time]]</f>
        <v>-2</v>
      </c>
      <c r="N467">
        <f>IF(AND(Table1[[#This Row],[Status]] = "Delivered", Table1[[#This Row],[Actual Delivery]] &lt;= Table1[[#This Row],[Promised Delivery]],Table1[[#This Row],[FillRate]]&gt;=0.95),1,0)</f>
        <v>0</v>
      </c>
      <c r="O467" t="str">
        <f>VLOOKUP(B467,Products!$A$2:$D$9,3,FALSE)</f>
        <v>Packaging</v>
      </c>
    </row>
    <row r="468" spans="1:15" x14ac:dyDescent="0.25">
      <c r="A468" s="14" t="s">
        <v>494</v>
      </c>
      <c r="B468" s="2" t="s">
        <v>20</v>
      </c>
      <c r="C468" s="2" t="s">
        <v>57</v>
      </c>
      <c r="D468" s="2" t="s">
        <v>28</v>
      </c>
      <c r="E468" s="3">
        <v>45603</v>
      </c>
      <c r="F468" s="20">
        <v>45624</v>
      </c>
      <c r="G468" s="20">
        <v>45622</v>
      </c>
      <c r="H468" s="2">
        <v>1729</v>
      </c>
      <c r="I468" s="2">
        <v>1674</v>
      </c>
      <c r="J468" s="4" t="s">
        <v>14</v>
      </c>
      <c r="K468">
        <f>Table1[[#This Row],[Delivered Qty]]/Table1[[#This Row],[Ordered Qty]]</f>
        <v>0.96818970503181034</v>
      </c>
      <c r="L468">
        <f>VLOOKUP(Table1[[#This Row],[Supplier ID]],Suppliers!$A$2:$D$6,4,FALSE)</f>
        <v>21</v>
      </c>
      <c r="M468">
        <f>Table1[[#This Row],[Actual Delivery]]-Table1[[#This Row],[Order Date]]-Table1[[#This Row],[std Lead time]]</f>
        <v>-2</v>
      </c>
      <c r="N468">
        <f>IF(AND(Table1[[#This Row],[Status]] = "Delivered", Table1[[#This Row],[Actual Delivery]] &lt;= Table1[[#This Row],[Promised Delivery]],Table1[[#This Row],[FillRate]]&gt;=0.95),1,0)</f>
        <v>1</v>
      </c>
      <c r="O468" t="str">
        <f>VLOOKUP(B468,Products!$A$2:$D$9,3,FALSE)</f>
        <v>Raw Material</v>
      </c>
    </row>
    <row r="469" spans="1:15" x14ac:dyDescent="0.25">
      <c r="A469" s="15" t="s">
        <v>495</v>
      </c>
      <c r="B469" s="5" t="s">
        <v>11</v>
      </c>
      <c r="C469" s="5" t="s">
        <v>57</v>
      </c>
      <c r="D469" s="5" t="s">
        <v>23</v>
      </c>
      <c r="E469" s="6">
        <v>45598</v>
      </c>
      <c r="F469" s="21">
        <v>45619</v>
      </c>
      <c r="G469" s="21">
        <v>45617</v>
      </c>
      <c r="H469" s="5">
        <v>1826</v>
      </c>
      <c r="I469" s="5">
        <v>1525</v>
      </c>
      <c r="J469" s="4" t="s">
        <v>14</v>
      </c>
      <c r="K469">
        <f>Table1[[#This Row],[Delivered Qty]]/Table1[[#This Row],[Ordered Qty]]</f>
        <v>0.83515881708652795</v>
      </c>
      <c r="L469">
        <f>VLOOKUP(Table1[[#This Row],[Supplier ID]],Suppliers!$A$2:$D$6,4,FALSE)</f>
        <v>21</v>
      </c>
      <c r="M469">
        <f>Table1[[#This Row],[Actual Delivery]]-Table1[[#This Row],[Order Date]]-Table1[[#This Row],[std Lead time]]</f>
        <v>-2</v>
      </c>
      <c r="N469">
        <f>IF(AND(Table1[[#This Row],[Status]] = "Delivered", Table1[[#This Row],[Actual Delivery]] &lt;= Table1[[#This Row],[Promised Delivery]],Table1[[#This Row],[FillRate]]&gt;=0.95),1,0)</f>
        <v>0</v>
      </c>
      <c r="O469" t="str">
        <f>VLOOKUP(B469,Products!$A$2:$D$9,3,FALSE)</f>
        <v>Packaging</v>
      </c>
    </row>
    <row r="470" spans="1:15" x14ac:dyDescent="0.25">
      <c r="A470" s="14" t="s">
        <v>496</v>
      </c>
      <c r="B470" s="2" t="s">
        <v>16</v>
      </c>
      <c r="C470" s="2" t="s">
        <v>17</v>
      </c>
      <c r="D470" s="2" t="s">
        <v>13</v>
      </c>
      <c r="E470" s="3">
        <v>45605</v>
      </c>
      <c r="F470" s="20">
        <v>45611</v>
      </c>
      <c r="G470" s="20">
        <v>45611</v>
      </c>
      <c r="H470" s="2">
        <v>1028</v>
      </c>
      <c r="I470" s="2">
        <v>899</v>
      </c>
      <c r="J470" s="4" t="s">
        <v>14</v>
      </c>
      <c r="K470">
        <f>Table1[[#This Row],[Delivered Qty]]/Table1[[#This Row],[Ordered Qty]]</f>
        <v>0.8745136186770428</v>
      </c>
      <c r="L470">
        <f>VLOOKUP(Table1[[#This Row],[Supplier ID]],Suppliers!$A$2:$D$6,4,FALSE)</f>
        <v>6</v>
      </c>
      <c r="M470">
        <f>Table1[[#This Row],[Actual Delivery]]-Table1[[#This Row],[Order Date]]-Table1[[#This Row],[std Lead time]]</f>
        <v>0</v>
      </c>
      <c r="N470">
        <f>IF(AND(Table1[[#This Row],[Status]] = "Delivered", Table1[[#This Row],[Actual Delivery]] &lt;= Table1[[#This Row],[Promised Delivery]],Table1[[#This Row],[FillRate]]&gt;=0.95),1,0)</f>
        <v>0</v>
      </c>
      <c r="O470" t="str">
        <f>VLOOKUP(B470,Products!$A$2:$D$9,3,FALSE)</f>
        <v>Packaging</v>
      </c>
    </row>
    <row r="471" spans="1:15" x14ac:dyDescent="0.25">
      <c r="A471" s="15" t="s">
        <v>497</v>
      </c>
      <c r="B471" s="5" t="s">
        <v>11</v>
      </c>
      <c r="C471" s="5" t="s">
        <v>57</v>
      </c>
      <c r="D471" s="5" t="s">
        <v>28</v>
      </c>
      <c r="E471" s="6">
        <v>45614</v>
      </c>
      <c r="F471" s="21">
        <v>45635</v>
      </c>
      <c r="G471" s="21">
        <v>45635</v>
      </c>
      <c r="H471" s="5">
        <v>329</v>
      </c>
      <c r="I471" s="5">
        <v>311</v>
      </c>
      <c r="J471" s="4" t="s">
        <v>14</v>
      </c>
      <c r="K471">
        <f>Table1[[#This Row],[Delivered Qty]]/Table1[[#This Row],[Ordered Qty]]</f>
        <v>0.94528875379939215</v>
      </c>
      <c r="L471">
        <f>VLOOKUP(Table1[[#This Row],[Supplier ID]],Suppliers!$A$2:$D$6,4,FALSE)</f>
        <v>21</v>
      </c>
      <c r="M471">
        <f>Table1[[#This Row],[Actual Delivery]]-Table1[[#This Row],[Order Date]]-Table1[[#This Row],[std Lead time]]</f>
        <v>0</v>
      </c>
      <c r="N471">
        <f>IF(AND(Table1[[#This Row],[Status]] = "Delivered", Table1[[#This Row],[Actual Delivery]] &lt;= Table1[[#This Row],[Promised Delivery]],Table1[[#This Row],[FillRate]]&gt;=0.95),1,0)</f>
        <v>0</v>
      </c>
      <c r="O471" t="str">
        <f>VLOOKUP(B471,Products!$A$2:$D$9,3,FALSE)</f>
        <v>Packaging</v>
      </c>
    </row>
    <row r="472" spans="1:15" x14ac:dyDescent="0.25">
      <c r="A472" s="14" t="s">
        <v>498</v>
      </c>
      <c r="B472" s="2" t="s">
        <v>11</v>
      </c>
      <c r="C472" s="2" t="s">
        <v>26</v>
      </c>
      <c r="D472" s="2" t="s">
        <v>23</v>
      </c>
      <c r="E472" s="3">
        <v>45613</v>
      </c>
      <c r="F472" s="20">
        <v>45620</v>
      </c>
      <c r="G472" s="20">
        <v>45620</v>
      </c>
      <c r="H472" s="2">
        <v>817</v>
      </c>
      <c r="I472" s="2">
        <v>746</v>
      </c>
      <c r="J472" s="4" t="s">
        <v>14</v>
      </c>
      <c r="K472">
        <f>Table1[[#This Row],[Delivered Qty]]/Table1[[#This Row],[Ordered Qty]]</f>
        <v>0.91309669522643822</v>
      </c>
      <c r="L472">
        <f>VLOOKUP(Table1[[#This Row],[Supplier ID]],Suppliers!$A$2:$D$6,4,FALSE)</f>
        <v>7</v>
      </c>
      <c r="M472">
        <f>Table1[[#This Row],[Actual Delivery]]-Table1[[#This Row],[Order Date]]-Table1[[#This Row],[std Lead time]]</f>
        <v>0</v>
      </c>
      <c r="N472">
        <f>IF(AND(Table1[[#This Row],[Status]] = "Delivered", Table1[[#This Row],[Actual Delivery]] &lt;= Table1[[#This Row],[Promised Delivery]],Table1[[#This Row],[FillRate]]&gt;=0.95),1,0)</f>
        <v>0</v>
      </c>
      <c r="O472" t="str">
        <f>VLOOKUP(B472,Products!$A$2:$D$9,3,FALSE)</f>
        <v>Packaging</v>
      </c>
    </row>
    <row r="473" spans="1:15" x14ac:dyDescent="0.25">
      <c r="A473" s="15" t="s">
        <v>499</v>
      </c>
      <c r="B473" s="5" t="s">
        <v>37</v>
      </c>
      <c r="C473" s="5" t="s">
        <v>57</v>
      </c>
      <c r="D473" s="5" t="s">
        <v>18</v>
      </c>
      <c r="E473" s="6">
        <v>45609</v>
      </c>
      <c r="F473" s="21">
        <v>45630</v>
      </c>
      <c r="G473" s="21">
        <v>45630</v>
      </c>
      <c r="H473" s="5">
        <v>650</v>
      </c>
      <c r="I473" s="5">
        <v>593</v>
      </c>
      <c r="J473" s="4" t="s">
        <v>14</v>
      </c>
      <c r="K473">
        <f>Table1[[#This Row],[Delivered Qty]]/Table1[[#This Row],[Ordered Qty]]</f>
        <v>0.91230769230769226</v>
      </c>
      <c r="L473">
        <f>VLOOKUP(Table1[[#This Row],[Supplier ID]],Suppliers!$A$2:$D$6,4,FALSE)</f>
        <v>21</v>
      </c>
      <c r="M473">
        <f>Table1[[#This Row],[Actual Delivery]]-Table1[[#This Row],[Order Date]]-Table1[[#This Row],[std Lead time]]</f>
        <v>0</v>
      </c>
      <c r="N473">
        <f>IF(AND(Table1[[#This Row],[Status]] = "Delivered", Table1[[#This Row],[Actual Delivery]] &lt;= Table1[[#This Row],[Promised Delivery]],Table1[[#This Row],[FillRate]]&gt;=0.95),1,0)</f>
        <v>0</v>
      </c>
      <c r="O473" t="str">
        <f>VLOOKUP(B473,Products!$A$2:$D$9,3,FALSE)</f>
        <v>Raw Material</v>
      </c>
    </row>
    <row r="474" spans="1:15" x14ac:dyDescent="0.25">
      <c r="A474" s="14" t="s">
        <v>500</v>
      </c>
      <c r="B474" s="2" t="s">
        <v>22</v>
      </c>
      <c r="C474" s="2" t="s">
        <v>17</v>
      </c>
      <c r="D474" s="2" t="s">
        <v>23</v>
      </c>
      <c r="E474" s="3">
        <v>45617</v>
      </c>
      <c r="F474" s="20">
        <v>45623</v>
      </c>
      <c r="G474" s="20">
        <v>45623</v>
      </c>
      <c r="H474" s="2">
        <v>1526</v>
      </c>
      <c r="I474" s="2">
        <v>1430</v>
      </c>
      <c r="J474" s="4" t="s">
        <v>14</v>
      </c>
      <c r="K474">
        <f>Table1[[#This Row],[Delivered Qty]]/Table1[[#This Row],[Ordered Qty]]</f>
        <v>0.9370904325032765</v>
      </c>
      <c r="L474">
        <f>VLOOKUP(Table1[[#This Row],[Supplier ID]],Suppliers!$A$2:$D$6,4,FALSE)</f>
        <v>6</v>
      </c>
      <c r="M474">
        <f>Table1[[#This Row],[Actual Delivery]]-Table1[[#This Row],[Order Date]]-Table1[[#This Row],[std Lead time]]</f>
        <v>0</v>
      </c>
      <c r="N474">
        <f>IF(AND(Table1[[#This Row],[Status]] = "Delivered", Table1[[#This Row],[Actual Delivery]] &lt;= Table1[[#This Row],[Promised Delivery]],Table1[[#This Row],[FillRate]]&gt;=0.95),1,0)</f>
        <v>0</v>
      </c>
      <c r="O474" t="str">
        <f>VLOOKUP(B474,Products!$A$2:$D$9,3,FALSE)</f>
        <v>Finished Goods</v>
      </c>
    </row>
    <row r="475" spans="1:15" x14ac:dyDescent="0.25">
      <c r="A475" s="15" t="s">
        <v>501</v>
      </c>
      <c r="B475" s="5" t="s">
        <v>11</v>
      </c>
      <c r="C475" s="5" t="s">
        <v>17</v>
      </c>
      <c r="D475" s="5" t="s">
        <v>13</v>
      </c>
      <c r="E475" s="6">
        <v>45600</v>
      </c>
      <c r="F475" s="21">
        <v>45606</v>
      </c>
      <c r="G475" s="21">
        <v>45606</v>
      </c>
      <c r="H475" s="5">
        <v>1007</v>
      </c>
      <c r="I475" s="5">
        <v>904</v>
      </c>
      <c r="J475" s="4" t="s">
        <v>14</v>
      </c>
      <c r="K475">
        <f>Table1[[#This Row],[Delivered Qty]]/Table1[[#This Row],[Ordered Qty]]</f>
        <v>0.89771598808341613</v>
      </c>
      <c r="L475">
        <f>VLOOKUP(Table1[[#This Row],[Supplier ID]],Suppliers!$A$2:$D$6,4,FALSE)</f>
        <v>6</v>
      </c>
      <c r="M475">
        <f>Table1[[#This Row],[Actual Delivery]]-Table1[[#This Row],[Order Date]]-Table1[[#This Row],[std Lead time]]</f>
        <v>0</v>
      </c>
      <c r="N475">
        <f>IF(AND(Table1[[#This Row],[Status]] = "Delivered", Table1[[#This Row],[Actual Delivery]] &lt;= Table1[[#This Row],[Promised Delivery]],Table1[[#This Row],[FillRate]]&gt;=0.95),1,0)</f>
        <v>0</v>
      </c>
      <c r="O475" t="str">
        <f>VLOOKUP(B475,Products!$A$2:$D$9,3,FALSE)</f>
        <v>Packaging</v>
      </c>
    </row>
    <row r="476" spans="1:15" x14ac:dyDescent="0.25">
      <c r="A476" s="14" t="s">
        <v>502</v>
      </c>
      <c r="B476" s="2" t="s">
        <v>16</v>
      </c>
      <c r="C476" s="2" t="s">
        <v>12</v>
      </c>
      <c r="D476" s="2" t="s">
        <v>13</v>
      </c>
      <c r="E476" s="3">
        <v>45620</v>
      </c>
      <c r="F476" s="20">
        <v>45638</v>
      </c>
      <c r="G476" s="20">
        <v>45638</v>
      </c>
      <c r="H476" s="2">
        <v>1943</v>
      </c>
      <c r="I476" s="2">
        <v>1734</v>
      </c>
      <c r="J476" s="4" t="s">
        <v>14</v>
      </c>
      <c r="K476">
        <f>Table1[[#This Row],[Delivered Qty]]/Table1[[#This Row],[Ordered Qty]]</f>
        <v>0.89243437982501284</v>
      </c>
      <c r="L476">
        <f>VLOOKUP(Table1[[#This Row],[Supplier ID]],Suppliers!$A$2:$D$6,4,FALSE)</f>
        <v>18</v>
      </c>
      <c r="M476">
        <f>Table1[[#This Row],[Actual Delivery]]-Table1[[#This Row],[Order Date]]-Table1[[#This Row],[std Lead time]]</f>
        <v>0</v>
      </c>
      <c r="N476">
        <f>IF(AND(Table1[[#This Row],[Status]] = "Delivered", Table1[[#This Row],[Actual Delivery]] &lt;= Table1[[#This Row],[Promised Delivery]],Table1[[#This Row],[FillRate]]&gt;=0.95),1,0)</f>
        <v>0</v>
      </c>
      <c r="O476" t="str">
        <f>VLOOKUP(B476,Products!$A$2:$D$9,3,FALSE)</f>
        <v>Packaging</v>
      </c>
    </row>
    <row r="477" spans="1:15" x14ac:dyDescent="0.25">
      <c r="A477" s="15" t="s">
        <v>503</v>
      </c>
      <c r="B477" s="5" t="s">
        <v>33</v>
      </c>
      <c r="C477" s="5" t="s">
        <v>31</v>
      </c>
      <c r="D477" s="5" t="s">
        <v>13</v>
      </c>
      <c r="E477" s="6">
        <v>45616</v>
      </c>
      <c r="F477" s="21">
        <v>45621</v>
      </c>
      <c r="G477" s="21">
        <v>45619</v>
      </c>
      <c r="H477" s="5">
        <v>1574</v>
      </c>
      <c r="I477" s="5">
        <v>1542</v>
      </c>
      <c r="J477" s="4" t="s">
        <v>14</v>
      </c>
      <c r="K477">
        <f>Table1[[#This Row],[Delivered Qty]]/Table1[[#This Row],[Ordered Qty]]</f>
        <v>0.9796696315120712</v>
      </c>
      <c r="L477">
        <f>VLOOKUP(Table1[[#This Row],[Supplier ID]],Suppliers!$A$2:$D$6,4,FALSE)</f>
        <v>5</v>
      </c>
      <c r="M477">
        <f>Table1[[#This Row],[Actual Delivery]]-Table1[[#This Row],[Order Date]]-Table1[[#This Row],[std Lead time]]</f>
        <v>-2</v>
      </c>
      <c r="N477">
        <f>IF(AND(Table1[[#This Row],[Status]] = "Delivered", Table1[[#This Row],[Actual Delivery]] &lt;= Table1[[#This Row],[Promised Delivery]],Table1[[#This Row],[FillRate]]&gt;=0.95),1,0)</f>
        <v>1</v>
      </c>
      <c r="O477" t="str">
        <f>VLOOKUP(B477,Products!$A$2:$D$9,3,FALSE)</f>
        <v>Raw Material</v>
      </c>
    </row>
    <row r="478" spans="1:15" x14ac:dyDescent="0.25">
      <c r="A478" s="14" t="s">
        <v>504</v>
      </c>
      <c r="B478" s="2" t="s">
        <v>11</v>
      </c>
      <c r="C478" s="2" t="s">
        <v>17</v>
      </c>
      <c r="D478" s="2" t="s">
        <v>18</v>
      </c>
      <c r="E478" s="3">
        <v>45617</v>
      </c>
      <c r="F478" s="20">
        <v>45623</v>
      </c>
      <c r="G478" s="20">
        <v>45621</v>
      </c>
      <c r="H478" s="2">
        <v>713</v>
      </c>
      <c r="I478" s="2">
        <v>571</v>
      </c>
      <c r="J478" s="4" t="s">
        <v>14</v>
      </c>
      <c r="K478">
        <f>Table1[[#This Row],[Delivered Qty]]/Table1[[#This Row],[Ordered Qty]]</f>
        <v>0.80084151472650766</v>
      </c>
      <c r="L478">
        <f>VLOOKUP(Table1[[#This Row],[Supplier ID]],Suppliers!$A$2:$D$6,4,FALSE)</f>
        <v>6</v>
      </c>
      <c r="M478">
        <f>Table1[[#This Row],[Actual Delivery]]-Table1[[#This Row],[Order Date]]-Table1[[#This Row],[std Lead time]]</f>
        <v>-2</v>
      </c>
      <c r="N478">
        <f>IF(AND(Table1[[#This Row],[Status]] = "Delivered", Table1[[#This Row],[Actual Delivery]] &lt;= Table1[[#This Row],[Promised Delivery]],Table1[[#This Row],[FillRate]]&gt;=0.95),1,0)</f>
        <v>0</v>
      </c>
      <c r="O478" t="str">
        <f>VLOOKUP(B478,Products!$A$2:$D$9,3,FALSE)</f>
        <v>Packaging</v>
      </c>
    </row>
    <row r="479" spans="1:15" x14ac:dyDescent="0.25">
      <c r="A479" s="15" t="s">
        <v>505</v>
      </c>
      <c r="B479" s="5" t="s">
        <v>44</v>
      </c>
      <c r="C479" s="5" t="s">
        <v>12</v>
      </c>
      <c r="D479" s="5" t="s">
        <v>23</v>
      </c>
      <c r="E479" s="6">
        <v>45601</v>
      </c>
      <c r="F479" s="21">
        <v>45619</v>
      </c>
      <c r="G479" s="21">
        <v>45619</v>
      </c>
      <c r="H479" s="5">
        <v>342</v>
      </c>
      <c r="I479" s="5">
        <v>338</v>
      </c>
      <c r="J479" s="4" t="s">
        <v>14</v>
      </c>
      <c r="K479">
        <f>Table1[[#This Row],[Delivered Qty]]/Table1[[#This Row],[Ordered Qty]]</f>
        <v>0.98830409356725146</v>
      </c>
      <c r="L479">
        <f>VLOOKUP(Table1[[#This Row],[Supplier ID]],Suppliers!$A$2:$D$6,4,FALSE)</f>
        <v>18</v>
      </c>
      <c r="M479">
        <f>Table1[[#This Row],[Actual Delivery]]-Table1[[#This Row],[Order Date]]-Table1[[#This Row],[std Lead time]]</f>
        <v>0</v>
      </c>
      <c r="N479">
        <f>IF(AND(Table1[[#This Row],[Status]] = "Delivered", Table1[[#This Row],[Actual Delivery]] &lt;= Table1[[#This Row],[Promised Delivery]],Table1[[#This Row],[FillRate]]&gt;=0.95),1,0)</f>
        <v>1</v>
      </c>
      <c r="O479" t="str">
        <f>VLOOKUP(B479,Products!$A$2:$D$9,3,FALSE)</f>
        <v>Finished Goods</v>
      </c>
    </row>
    <row r="480" spans="1:15" x14ac:dyDescent="0.25">
      <c r="A480" s="14" t="s">
        <v>506</v>
      </c>
      <c r="B480" s="2" t="s">
        <v>30</v>
      </c>
      <c r="C480" s="2" t="s">
        <v>57</v>
      </c>
      <c r="D480" s="2" t="s">
        <v>18</v>
      </c>
      <c r="E480" s="3">
        <v>45607</v>
      </c>
      <c r="F480" s="20">
        <v>45628</v>
      </c>
      <c r="G480" s="20">
        <v>45626</v>
      </c>
      <c r="H480" s="2">
        <v>1358</v>
      </c>
      <c r="I480" s="2">
        <v>1299</v>
      </c>
      <c r="J480" s="4" t="s">
        <v>14</v>
      </c>
      <c r="K480">
        <f>Table1[[#This Row],[Delivered Qty]]/Table1[[#This Row],[Ordered Qty]]</f>
        <v>0.95655375552282773</v>
      </c>
      <c r="L480">
        <f>VLOOKUP(Table1[[#This Row],[Supplier ID]],Suppliers!$A$2:$D$6,4,FALSE)</f>
        <v>21</v>
      </c>
      <c r="M480">
        <f>Table1[[#This Row],[Actual Delivery]]-Table1[[#This Row],[Order Date]]-Table1[[#This Row],[std Lead time]]</f>
        <v>-2</v>
      </c>
      <c r="N480">
        <f>IF(AND(Table1[[#This Row],[Status]] = "Delivered", Table1[[#This Row],[Actual Delivery]] &lt;= Table1[[#This Row],[Promised Delivery]],Table1[[#This Row],[FillRate]]&gt;=0.95),1,0)</f>
        <v>1</v>
      </c>
      <c r="O480" t="str">
        <f>VLOOKUP(B480,Products!$A$2:$D$9,3,FALSE)</f>
        <v>Finished Goods</v>
      </c>
    </row>
    <row r="481" spans="1:15" x14ac:dyDescent="0.25">
      <c r="A481" s="15" t="s">
        <v>507</v>
      </c>
      <c r="B481" s="5" t="s">
        <v>30</v>
      </c>
      <c r="C481" s="5" t="s">
        <v>57</v>
      </c>
      <c r="D481" s="5" t="s">
        <v>13</v>
      </c>
      <c r="E481" s="6">
        <v>45597</v>
      </c>
      <c r="F481" s="21">
        <v>45618</v>
      </c>
      <c r="G481" s="21">
        <v>45616</v>
      </c>
      <c r="H481" s="5">
        <v>1658</v>
      </c>
      <c r="I481" s="5">
        <v>1614</v>
      </c>
      <c r="J481" s="4" t="s">
        <v>14</v>
      </c>
      <c r="K481">
        <f>Table1[[#This Row],[Delivered Qty]]/Table1[[#This Row],[Ordered Qty]]</f>
        <v>0.97346200241254521</v>
      </c>
      <c r="L481">
        <f>VLOOKUP(Table1[[#This Row],[Supplier ID]],Suppliers!$A$2:$D$6,4,FALSE)</f>
        <v>21</v>
      </c>
      <c r="M481">
        <f>Table1[[#This Row],[Actual Delivery]]-Table1[[#This Row],[Order Date]]-Table1[[#This Row],[std Lead time]]</f>
        <v>-2</v>
      </c>
      <c r="N481">
        <f>IF(AND(Table1[[#This Row],[Status]] = "Delivered", Table1[[#This Row],[Actual Delivery]] &lt;= Table1[[#This Row],[Promised Delivery]],Table1[[#This Row],[FillRate]]&gt;=0.95),1,0)</f>
        <v>1</v>
      </c>
      <c r="O481" t="str">
        <f>VLOOKUP(B481,Products!$A$2:$D$9,3,FALSE)</f>
        <v>Finished Goods</v>
      </c>
    </row>
    <row r="482" spans="1:15" x14ac:dyDescent="0.25">
      <c r="A482" s="14" t="s">
        <v>508</v>
      </c>
      <c r="B482" s="2" t="s">
        <v>22</v>
      </c>
      <c r="C482" s="2" t="s">
        <v>12</v>
      </c>
      <c r="D482" s="2" t="s">
        <v>23</v>
      </c>
      <c r="E482" s="3">
        <v>45601</v>
      </c>
      <c r="F482" s="20">
        <v>45619</v>
      </c>
      <c r="G482" s="20">
        <v>45623</v>
      </c>
      <c r="H482" s="2">
        <v>1112</v>
      </c>
      <c r="I482" s="2">
        <v>1040</v>
      </c>
      <c r="J482" s="4" t="s">
        <v>14</v>
      </c>
      <c r="K482">
        <f>Table1[[#This Row],[Delivered Qty]]/Table1[[#This Row],[Ordered Qty]]</f>
        <v>0.93525179856115104</v>
      </c>
      <c r="L482">
        <f>VLOOKUP(Table1[[#This Row],[Supplier ID]],Suppliers!$A$2:$D$6,4,FALSE)</f>
        <v>18</v>
      </c>
      <c r="M482">
        <f>Table1[[#This Row],[Actual Delivery]]-Table1[[#This Row],[Order Date]]-Table1[[#This Row],[std Lead time]]</f>
        <v>4</v>
      </c>
      <c r="N482">
        <f>IF(AND(Table1[[#This Row],[Status]] = "Delivered", Table1[[#This Row],[Actual Delivery]] &lt;= Table1[[#This Row],[Promised Delivery]],Table1[[#This Row],[FillRate]]&gt;=0.95),1,0)</f>
        <v>0</v>
      </c>
      <c r="O482" t="str">
        <f>VLOOKUP(B482,Products!$A$2:$D$9,3,FALSE)</f>
        <v>Finished Goods</v>
      </c>
    </row>
    <row r="483" spans="1:15" x14ac:dyDescent="0.25">
      <c r="A483" s="15" t="s">
        <v>509</v>
      </c>
      <c r="B483" s="5" t="s">
        <v>37</v>
      </c>
      <c r="C483" s="5" t="s">
        <v>57</v>
      </c>
      <c r="D483" s="5" t="s">
        <v>28</v>
      </c>
      <c r="E483" s="6">
        <v>45602</v>
      </c>
      <c r="F483" s="21">
        <v>45623</v>
      </c>
      <c r="G483" s="21">
        <v>45625</v>
      </c>
      <c r="H483" s="5">
        <v>1303</v>
      </c>
      <c r="I483" s="5">
        <v>1198</v>
      </c>
      <c r="J483" s="4" t="s">
        <v>14</v>
      </c>
      <c r="K483">
        <f>Table1[[#This Row],[Delivered Qty]]/Table1[[#This Row],[Ordered Qty]]</f>
        <v>0.91941673062164231</v>
      </c>
      <c r="L483">
        <f>VLOOKUP(Table1[[#This Row],[Supplier ID]],Suppliers!$A$2:$D$6,4,FALSE)</f>
        <v>21</v>
      </c>
      <c r="M483">
        <f>Table1[[#This Row],[Actual Delivery]]-Table1[[#This Row],[Order Date]]-Table1[[#This Row],[std Lead time]]</f>
        <v>2</v>
      </c>
      <c r="N483">
        <f>IF(AND(Table1[[#This Row],[Status]] = "Delivered", Table1[[#This Row],[Actual Delivery]] &lt;= Table1[[#This Row],[Promised Delivery]],Table1[[#This Row],[FillRate]]&gt;=0.95),1,0)</f>
        <v>0</v>
      </c>
      <c r="O483" t="str">
        <f>VLOOKUP(B483,Products!$A$2:$D$9,3,FALSE)</f>
        <v>Raw Material</v>
      </c>
    </row>
    <row r="484" spans="1:15" x14ac:dyDescent="0.25">
      <c r="A484" s="14" t="s">
        <v>510</v>
      </c>
      <c r="B484" s="2" t="s">
        <v>16</v>
      </c>
      <c r="C484" s="2" t="s">
        <v>26</v>
      </c>
      <c r="D484" s="2" t="s">
        <v>28</v>
      </c>
      <c r="E484" s="3">
        <v>45624</v>
      </c>
      <c r="F484" s="20">
        <v>45631</v>
      </c>
      <c r="G484" s="20">
        <v>45636</v>
      </c>
      <c r="H484" s="2">
        <v>1029</v>
      </c>
      <c r="I484" s="2">
        <v>976</v>
      </c>
      <c r="J484" s="4" t="s">
        <v>14</v>
      </c>
      <c r="K484">
        <f>Table1[[#This Row],[Delivered Qty]]/Table1[[#This Row],[Ordered Qty]]</f>
        <v>0.94849368318756078</v>
      </c>
      <c r="L484">
        <f>VLOOKUP(Table1[[#This Row],[Supplier ID]],Suppliers!$A$2:$D$6,4,FALSE)</f>
        <v>7</v>
      </c>
      <c r="M484">
        <f>Table1[[#This Row],[Actual Delivery]]-Table1[[#This Row],[Order Date]]-Table1[[#This Row],[std Lead time]]</f>
        <v>5</v>
      </c>
      <c r="N484">
        <f>IF(AND(Table1[[#This Row],[Status]] = "Delivered", Table1[[#This Row],[Actual Delivery]] &lt;= Table1[[#This Row],[Promised Delivery]],Table1[[#This Row],[FillRate]]&gt;=0.95),1,0)</f>
        <v>0</v>
      </c>
      <c r="O484" t="str">
        <f>VLOOKUP(B484,Products!$A$2:$D$9,3,FALSE)</f>
        <v>Packaging</v>
      </c>
    </row>
    <row r="485" spans="1:15" x14ac:dyDescent="0.25">
      <c r="A485" s="15" t="s">
        <v>511</v>
      </c>
      <c r="B485" s="5" t="s">
        <v>20</v>
      </c>
      <c r="C485" s="5" t="s">
        <v>26</v>
      </c>
      <c r="D485" s="5" t="s">
        <v>23</v>
      </c>
      <c r="E485" s="6">
        <v>45614</v>
      </c>
      <c r="F485" s="21">
        <v>45621</v>
      </c>
      <c r="G485" s="21">
        <v>45619</v>
      </c>
      <c r="H485" s="5">
        <v>949</v>
      </c>
      <c r="I485" s="5">
        <v>891</v>
      </c>
      <c r="J485" s="4" t="s">
        <v>14</v>
      </c>
      <c r="K485">
        <f>Table1[[#This Row],[Delivered Qty]]/Table1[[#This Row],[Ordered Qty]]</f>
        <v>0.9388830347734457</v>
      </c>
      <c r="L485">
        <f>VLOOKUP(Table1[[#This Row],[Supplier ID]],Suppliers!$A$2:$D$6,4,FALSE)</f>
        <v>7</v>
      </c>
      <c r="M485">
        <f>Table1[[#This Row],[Actual Delivery]]-Table1[[#This Row],[Order Date]]-Table1[[#This Row],[std Lead time]]</f>
        <v>-2</v>
      </c>
      <c r="N485">
        <f>IF(AND(Table1[[#This Row],[Status]] = "Delivered", Table1[[#This Row],[Actual Delivery]] &lt;= Table1[[#This Row],[Promised Delivery]],Table1[[#This Row],[FillRate]]&gt;=0.95),1,0)</f>
        <v>0</v>
      </c>
      <c r="O485" t="str">
        <f>VLOOKUP(B485,Products!$A$2:$D$9,3,FALSE)</f>
        <v>Raw Material</v>
      </c>
    </row>
    <row r="486" spans="1:15" x14ac:dyDescent="0.25">
      <c r="A486" s="14" t="s">
        <v>512</v>
      </c>
      <c r="B486" s="2" t="s">
        <v>37</v>
      </c>
      <c r="C486" s="2" t="s">
        <v>31</v>
      </c>
      <c r="D486" s="2" t="s">
        <v>18</v>
      </c>
      <c r="E486" s="3">
        <v>45613</v>
      </c>
      <c r="F486" s="20">
        <v>45618</v>
      </c>
      <c r="G486" s="20">
        <v>45618</v>
      </c>
      <c r="H486" s="2">
        <v>221</v>
      </c>
      <c r="I486" s="2">
        <v>213</v>
      </c>
      <c r="J486" s="4" t="s">
        <v>14</v>
      </c>
      <c r="K486">
        <f>Table1[[#This Row],[Delivered Qty]]/Table1[[#This Row],[Ordered Qty]]</f>
        <v>0.96380090497737558</v>
      </c>
      <c r="L486">
        <f>VLOOKUP(Table1[[#This Row],[Supplier ID]],Suppliers!$A$2:$D$6,4,FALSE)</f>
        <v>5</v>
      </c>
      <c r="M486">
        <f>Table1[[#This Row],[Actual Delivery]]-Table1[[#This Row],[Order Date]]-Table1[[#This Row],[std Lead time]]</f>
        <v>0</v>
      </c>
      <c r="N486">
        <f>IF(AND(Table1[[#This Row],[Status]] = "Delivered", Table1[[#This Row],[Actual Delivery]] &lt;= Table1[[#This Row],[Promised Delivery]],Table1[[#This Row],[FillRate]]&gt;=0.95),1,0)</f>
        <v>1</v>
      </c>
      <c r="O486" t="str">
        <f>VLOOKUP(B486,Products!$A$2:$D$9,3,FALSE)</f>
        <v>Raw Material</v>
      </c>
    </row>
    <row r="487" spans="1:15" x14ac:dyDescent="0.25">
      <c r="A487" s="15" t="s">
        <v>513</v>
      </c>
      <c r="B487" s="5" t="s">
        <v>33</v>
      </c>
      <c r="C487" s="5" t="s">
        <v>17</v>
      </c>
      <c r="D487" s="5" t="s">
        <v>13</v>
      </c>
      <c r="E487" s="6">
        <v>45611</v>
      </c>
      <c r="F487" s="21">
        <v>45617</v>
      </c>
      <c r="G487" s="21">
        <v>45617</v>
      </c>
      <c r="H487" s="5">
        <v>1550</v>
      </c>
      <c r="I487" s="5">
        <v>1530</v>
      </c>
      <c r="J487" s="4" t="s">
        <v>14</v>
      </c>
      <c r="K487">
        <f>Table1[[#This Row],[Delivered Qty]]/Table1[[#This Row],[Ordered Qty]]</f>
        <v>0.98709677419354835</v>
      </c>
      <c r="L487">
        <f>VLOOKUP(Table1[[#This Row],[Supplier ID]],Suppliers!$A$2:$D$6,4,FALSE)</f>
        <v>6</v>
      </c>
      <c r="M487">
        <f>Table1[[#This Row],[Actual Delivery]]-Table1[[#This Row],[Order Date]]-Table1[[#This Row],[std Lead time]]</f>
        <v>0</v>
      </c>
      <c r="N487">
        <f>IF(AND(Table1[[#This Row],[Status]] = "Delivered", Table1[[#This Row],[Actual Delivery]] &lt;= Table1[[#This Row],[Promised Delivery]],Table1[[#This Row],[FillRate]]&gt;=0.95),1,0)</f>
        <v>1</v>
      </c>
      <c r="O487" t="str">
        <f>VLOOKUP(B487,Products!$A$2:$D$9,3,FALSE)</f>
        <v>Raw Material</v>
      </c>
    </row>
    <row r="488" spans="1:15" x14ac:dyDescent="0.25">
      <c r="A488" s="14" t="s">
        <v>514</v>
      </c>
      <c r="B488" s="2" t="s">
        <v>33</v>
      </c>
      <c r="C488" s="2" t="s">
        <v>57</v>
      </c>
      <c r="D488" s="2" t="s">
        <v>23</v>
      </c>
      <c r="E488" s="3">
        <v>45598</v>
      </c>
      <c r="F488" s="20">
        <v>45619</v>
      </c>
      <c r="G488" s="20">
        <v>45621</v>
      </c>
      <c r="H488" s="2">
        <v>328</v>
      </c>
      <c r="I488" s="2">
        <v>303</v>
      </c>
      <c r="J488" s="4" t="s">
        <v>14</v>
      </c>
      <c r="K488">
        <f>Table1[[#This Row],[Delivered Qty]]/Table1[[#This Row],[Ordered Qty]]</f>
        <v>0.92378048780487809</v>
      </c>
      <c r="L488">
        <f>VLOOKUP(Table1[[#This Row],[Supplier ID]],Suppliers!$A$2:$D$6,4,FALSE)</f>
        <v>21</v>
      </c>
      <c r="M488">
        <f>Table1[[#This Row],[Actual Delivery]]-Table1[[#This Row],[Order Date]]-Table1[[#This Row],[std Lead time]]</f>
        <v>2</v>
      </c>
      <c r="N488">
        <f>IF(AND(Table1[[#This Row],[Status]] = "Delivered", Table1[[#This Row],[Actual Delivery]] &lt;= Table1[[#This Row],[Promised Delivery]],Table1[[#This Row],[FillRate]]&gt;=0.95),1,0)</f>
        <v>0</v>
      </c>
      <c r="O488" t="str">
        <f>VLOOKUP(B488,Products!$A$2:$D$9,3,FALSE)</f>
        <v>Raw Material</v>
      </c>
    </row>
    <row r="489" spans="1:15" x14ac:dyDescent="0.25">
      <c r="A489" s="15" t="s">
        <v>515</v>
      </c>
      <c r="B489" s="5" t="s">
        <v>20</v>
      </c>
      <c r="C489" s="5" t="s">
        <v>26</v>
      </c>
      <c r="D489" s="5" t="s">
        <v>13</v>
      </c>
      <c r="E489" s="6">
        <v>45613</v>
      </c>
      <c r="F489" s="21">
        <v>45620</v>
      </c>
      <c r="G489" s="21">
        <v>45619</v>
      </c>
      <c r="H489" s="5">
        <v>295</v>
      </c>
      <c r="I489" s="5">
        <v>266</v>
      </c>
      <c r="J489" s="4" t="s">
        <v>14</v>
      </c>
      <c r="K489">
        <f>Table1[[#This Row],[Delivered Qty]]/Table1[[#This Row],[Ordered Qty]]</f>
        <v>0.90169491525423728</v>
      </c>
      <c r="L489">
        <f>VLOOKUP(Table1[[#This Row],[Supplier ID]],Suppliers!$A$2:$D$6,4,FALSE)</f>
        <v>7</v>
      </c>
      <c r="M489">
        <f>Table1[[#This Row],[Actual Delivery]]-Table1[[#This Row],[Order Date]]-Table1[[#This Row],[std Lead time]]</f>
        <v>-1</v>
      </c>
      <c r="N489">
        <f>IF(AND(Table1[[#This Row],[Status]] = "Delivered", Table1[[#This Row],[Actual Delivery]] &lt;= Table1[[#This Row],[Promised Delivery]],Table1[[#This Row],[FillRate]]&gt;=0.95),1,0)</f>
        <v>0</v>
      </c>
      <c r="O489" t="str">
        <f>VLOOKUP(B489,Products!$A$2:$D$9,3,FALSE)</f>
        <v>Raw Material</v>
      </c>
    </row>
    <row r="490" spans="1:15" x14ac:dyDescent="0.25">
      <c r="A490" s="14" t="s">
        <v>516</v>
      </c>
      <c r="B490" s="2" t="s">
        <v>30</v>
      </c>
      <c r="C490" s="2" t="s">
        <v>26</v>
      </c>
      <c r="D490" s="2" t="s">
        <v>23</v>
      </c>
      <c r="E490" s="3">
        <v>45623</v>
      </c>
      <c r="F490" s="20">
        <v>45630</v>
      </c>
      <c r="G490" s="20">
        <v>45630</v>
      </c>
      <c r="H490" s="2">
        <v>556</v>
      </c>
      <c r="I490" s="2">
        <v>521</v>
      </c>
      <c r="J490" s="4" t="s">
        <v>14</v>
      </c>
      <c r="K490">
        <f>Table1[[#This Row],[Delivered Qty]]/Table1[[#This Row],[Ordered Qty]]</f>
        <v>0.93705035971223016</v>
      </c>
      <c r="L490">
        <f>VLOOKUP(Table1[[#This Row],[Supplier ID]],Suppliers!$A$2:$D$6,4,FALSE)</f>
        <v>7</v>
      </c>
      <c r="M490">
        <f>Table1[[#This Row],[Actual Delivery]]-Table1[[#This Row],[Order Date]]-Table1[[#This Row],[std Lead time]]</f>
        <v>0</v>
      </c>
      <c r="N490">
        <f>IF(AND(Table1[[#This Row],[Status]] = "Delivered", Table1[[#This Row],[Actual Delivery]] &lt;= Table1[[#This Row],[Promised Delivery]],Table1[[#This Row],[FillRate]]&gt;=0.95),1,0)</f>
        <v>0</v>
      </c>
      <c r="O490" t="str">
        <f>VLOOKUP(B490,Products!$A$2:$D$9,3,FALSE)</f>
        <v>Finished Goods</v>
      </c>
    </row>
    <row r="491" spans="1:15" x14ac:dyDescent="0.25">
      <c r="A491" s="15" t="s">
        <v>517</v>
      </c>
      <c r="B491" s="5" t="s">
        <v>22</v>
      </c>
      <c r="C491" s="5" t="s">
        <v>12</v>
      </c>
      <c r="D491" s="5" t="s">
        <v>28</v>
      </c>
      <c r="E491" s="6">
        <v>45613</v>
      </c>
      <c r="F491" s="21">
        <v>45631</v>
      </c>
      <c r="G491" s="21">
        <v>45629</v>
      </c>
      <c r="H491" s="5">
        <v>1257</v>
      </c>
      <c r="I491" s="5">
        <v>1182</v>
      </c>
      <c r="J491" s="4" t="s">
        <v>14</v>
      </c>
      <c r="K491">
        <f>Table1[[#This Row],[Delivered Qty]]/Table1[[#This Row],[Ordered Qty]]</f>
        <v>0.94033412887828161</v>
      </c>
      <c r="L491">
        <f>VLOOKUP(Table1[[#This Row],[Supplier ID]],Suppliers!$A$2:$D$6,4,FALSE)</f>
        <v>18</v>
      </c>
      <c r="M491">
        <f>Table1[[#This Row],[Actual Delivery]]-Table1[[#This Row],[Order Date]]-Table1[[#This Row],[std Lead time]]</f>
        <v>-2</v>
      </c>
      <c r="N491">
        <f>IF(AND(Table1[[#This Row],[Status]] = "Delivered", Table1[[#This Row],[Actual Delivery]] &lt;= Table1[[#This Row],[Promised Delivery]],Table1[[#This Row],[FillRate]]&gt;=0.95),1,0)</f>
        <v>0</v>
      </c>
      <c r="O491" t="str">
        <f>VLOOKUP(B491,Products!$A$2:$D$9,3,FALSE)</f>
        <v>Finished Goods</v>
      </c>
    </row>
    <row r="492" spans="1:15" x14ac:dyDescent="0.25">
      <c r="A492" s="14" t="s">
        <v>518</v>
      </c>
      <c r="B492" s="2" t="s">
        <v>30</v>
      </c>
      <c r="C492" s="2" t="s">
        <v>57</v>
      </c>
      <c r="D492" s="2" t="s">
        <v>18</v>
      </c>
      <c r="E492" s="3">
        <v>45616</v>
      </c>
      <c r="F492" s="20">
        <v>45637</v>
      </c>
      <c r="G492" s="20">
        <v>45635</v>
      </c>
      <c r="H492" s="2">
        <v>1100</v>
      </c>
      <c r="I492" s="2">
        <v>1008</v>
      </c>
      <c r="J492" s="4" t="s">
        <v>14</v>
      </c>
      <c r="K492">
        <f>Table1[[#This Row],[Delivered Qty]]/Table1[[#This Row],[Ordered Qty]]</f>
        <v>0.91636363636363638</v>
      </c>
      <c r="L492">
        <f>VLOOKUP(Table1[[#This Row],[Supplier ID]],Suppliers!$A$2:$D$6,4,FALSE)</f>
        <v>21</v>
      </c>
      <c r="M492">
        <f>Table1[[#This Row],[Actual Delivery]]-Table1[[#This Row],[Order Date]]-Table1[[#This Row],[std Lead time]]</f>
        <v>-2</v>
      </c>
      <c r="N492">
        <f>IF(AND(Table1[[#This Row],[Status]] = "Delivered", Table1[[#This Row],[Actual Delivery]] &lt;= Table1[[#This Row],[Promised Delivery]],Table1[[#This Row],[FillRate]]&gt;=0.95),1,0)</f>
        <v>0</v>
      </c>
      <c r="O492" t="str">
        <f>VLOOKUP(B492,Products!$A$2:$D$9,3,FALSE)</f>
        <v>Finished Goods</v>
      </c>
    </row>
    <row r="493" spans="1:15" x14ac:dyDescent="0.25">
      <c r="A493" s="15" t="s">
        <v>519</v>
      </c>
      <c r="B493" s="5" t="s">
        <v>16</v>
      </c>
      <c r="C493" s="5" t="s">
        <v>17</v>
      </c>
      <c r="D493" s="5" t="s">
        <v>23</v>
      </c>
      <c r="E493" s="6">
        <v>45603</v>
      </c>
      <c r="F493" s="21">
        <v>45609</v>
      </c>
      <c r="G493" s="21">
        <v>45608</v>
      </c>
      <c r="H493" s="5">
        <v>1432</v>
      </c>
      <c r="I493" s="5">
        <v>1342</v>
      </c>
      <c r="J493" s="4" t="s">
        <v>14</v>
      </c>
      <c r="K493">
        <f>Table1[[#This Row],[Delivered Qty]]/Table1[[#This Row],[Ordered Qty]]</f>
        <v>0.93715083798882681</v>
      </c>
      <c r="L493">
        <f>VLOOKUP(Table1[[#This Row],[Supplier ID]],Suppliers!$A$2:$D$6,4,FALSE)</f>
        <v>6</v>
      </c>
      <c r="M493">
        <f>Table1[[#This Row],[Actual Delivery]]-Table1[[#This Row],[Order Date]]-Table1[[#This Row],[std Lead time]]</f>
        <v>-1</v>
      </c>
      <c r="N493">
        <f>IF(AND(Table1[[#This Row],[Status]] = "Delivered", Table1[[#This Row],[Actual Delivery]] &lt;= Table1[[#This Row],[Promised Delivery]],Table1[[#This Row],[FillRate]]&gt;=0.95),1,0)</f>
        <v>0</v>
      </c>
      <c r="O493" t="str">
        <f>VLOOKUP(B493,Products!$A$2:$D$9,3,FALSE)</f>
        <v>Packaging</v>
      </c>
    </row>
    <row r="494" spans="1:15" x14ac:dyDescent="0.25">
      <c r="A494" s="14" t="s">
        <v>520</v>
      </c>
      <c r="B494" s="2" t="s">
        <v>16</v>
      </c>
      <c r="C494" s="2" t="s">
        <v>31</v>
      </c>
      <c r="D494" s="2" t="s">
        <v>18</v>
      </c>
      <c r="E494" s="3">
        <v>45622</v>
      </c>
      <c r="F494" s="20">
        <v>45627</v>
      </c>
      <c r="G494" s="20">
        <v>45631</v>
      </c>
      <c r="H494" s="2">
        <v>1582</v>
      </c>
      <c r="I494" s="2">
        <v>1400</v>
      </c>
      <c r="J494" s="4" t="s">
        <v>14</v>
      </c>
      <c r="K494">
        <f>Table1[[#This Row],[Delivered Qty]]/Table1[[#This Row],[Ordered Qty]]</f>
        <v>0.88495575221238942</v>
      </c>
      <c r="L494">
        <f>VLOOKUP(Table1[[#This Row],[Supplier ID]],Suppliers!$A$2:$D$6,4,FALSE)</f>
        <v>5</v>
      </c>
      <c r="M494">
        <f>Table1[[#This Row],[Actual Delivery]]-Table1[[#This Row],[Order Date]]-Table1[[#This Row],[std Lead time]]</f>
        <v>4</v>
      </c>
      <c r="N494">
        <f>IF(AND(Table1[[#This Row],[Status]] = "Delivered", Table1[[#This Row],[Actual Delivery]] &lt;= Table1[[#This Row],[Promised Delivery]],Table1[[#This Row],[FillRate]]&gt;=0.95),1,0)</f>
        <v>0</v>
      </c>
      <c r="O494" t="str">
        <f>VLOOKUP(B494,Products!$A$2:$D$9,3,FALSE)</f>
        <v>Packaging</v>
      </c>
    </row>
    <row r="495" spans="1:15" x14ac:dyDescent="0.25">
      <c r="A495" s="15" t="s">
        <v>521</v>
      </c>
      <c r="B495" s="5" t="s">
        <v>20</v>
      </c>
      <c r="C495" s="5" t="s">
        <v>17</v>
      </c>
      <c r="D495" s="5" t="s">
        <v>13</v>
      </c>
      <c r="E495" s="6">
        <v>45617</v>
      </c>
      <c r="F495" s="21">
        <v>45623</v>
      </c>
      <c r="G495" s="21">
        <v>45621</v>
      </c>
      <c r="H495" s="5">
        <v>461</v>
      </c>
      <c r="I495" s="5">
        <v>441</v>
      </c>
      <c r="J495" s="4" t="s">
        <v>14</v>
      </c>
      <c r="K495">
        <f>Table1[[#This Row],[Delivered Qty]]/Table1[[#This Row],[Ordered Qty]]</f>
        <v>0.95661605206073752</v>
      </c>
      <c r="L495">
        <f>VLOOKUP(Table1[[#This Row],[Supplier ID]],Suppliers!$A$2:$D$6,4,FALSE)</f>
        <v>6</v>
      </c>
      <c r="M495">
        <f>Table1[[#This Row],[Actual Delivery]]-Table1[[#This Row],[Order Date]]-Table1[[#This Row],[std Lead time]]</f>
        <v>-2</v>
      </c>
      <c r="N495">
        <f>IF(AND(Table1[[#This Row],[Status]] = "Delivered", Table1[[#This Row],[Actual Delivery]] &lt;= Table1[[#This Row],[Promised Delivery]],Table1[[#This Row],[FillRate]]&gt;=0.95),1,0)</f>
        <v>1</v>
      </c>
      <c r="O495" t="str">
        <f>VLOOKUP(B495,Products!$A$2:$D$9,3,FALSE)</f>
        <v>Raw Material</v>
      </c>
    </row>
    <row r="496" spans="1:15" x14ac:dyDescent="0.25">
      <c r="A496" s="14" t="s">
        <v>522</v>
      </c>
      <c r="B496" s="2" t="s">
        <v>33</v>
      </c>
      <c r="C496" s="2" t="s">
        <v>31</v>
      </c>
      <c r="D496" s="2" t="s">
        <v>28</v>
      </c>
      <c r="E496" s="3">
        <v>45615</v>
      </c>
      <c r="F496" s="20">
        <v>45620</v>
      </c>
      <c r="G496" s="20">
        <v>45619</v>
      </c>
      <c r="H496" s="2">
        <v>568</v>
      </c>
      <c r="I496" s="2">
        <v>540</v>
      </c>
      <c r="J496" s="4" t="s">
        <v>14</v>
      </c>
      <c r="K496">
        <f>Table1[[#This Row],[Delivered Qty]]/Table1[[#This Row],[Ordered Qty]]</f>
        <v>0.95070422535211263</v>
      </c>
      <c r="L496">
        <f>VLOOKUP(Table1[[#This Row],[Supplier ID]],Suppliers!$A$2:$D$6,4,FALSE)</f>
        <v>5</v>
      </c>
      <c r="M496">
        <f>Table1[[#This Row],[Actual Delivery]]-Table1[[#This Row],[Order Date]]-Table1[[#This Row],[std Lead time]]</f>
        <v>-1</v>
      </c>
      <c r="N496">
        <f>IF(AND(Table1[[#This Row],[Status]] = "Delivered", Table1[[#This Row],[Actual Delivery]] &lt;= Table1[[#This Row],[Promised Delivery]],Table1[[#This Row],[FillRate]]&gt;=0.95),1,0)</f>
        <v>1</v>
      </c>
      <c r="O496" t="str">
        <f>VLOOKUP(B496,Products!$A$2:$D$9,3,FALSE)</f>
        <v>Raw Material</v>
      </c>
    </row>
    <row r="497" spans="1:15" x14ac:dyDescent="0.25">
      <c r="A497" s="15" t="s">
        <v>523</v>
      </c>
      <c r="B497" s="5" t="s">
        <v>22</v>
      </c>
      <c r="C497" s="5" t="s">
        <v>17</v>
      </c>
      <c r="D497" s="5" t="s">
        <v>28</v>
      </c>
      <c r="E497" s="6">
        <v>45620</v>
      </c>
      <c r="F497" s="21">
        <v>45626</v>
      </c>
      <c r="G497" s="21">
        <v>45628</v>
      </c>
      <c r="H497" s="5">
        <v>1119</v>
      </c>
      <c r="I497" s="5">
        <v>1074</v>
      </c>
      <c r="J497" s="4" t="s">
        <v>14</v>
      </c>
      <c r="K497">
        <f>Table1[[#This Row],[Delivered Qty]]/Table1[[#This Row],[Ordered Qty]]</f>
        <v>0.95978552278820373</v>
      </c>
      <c r="L497">
        <f>VLOOKUP(Table1[[#This Row],[Supplier ID]],Suppliers!$A$2:$D$6,4,FALSE)</f>
        <v>6</v>
      </c>
      <c r="M497">
        <f>Table1[[#This Row],[Actual Delivery]]-Table1[[#This Row],[Order Date]]-Table1[[#This Row],[std Lead time]]</f>
        <v>2</v>
      </c>
      <c r="N497">
        <f>IF(AND(Table1[[#This Row],[Status]] = "Delivered", Table1[[#This Row],[Actual Delivery]] &lt;= Table1[[#This Row],[Promised Delivery]],Table1[[#This Row],[FillRate]]&gt;=0.95),1,0)</f>
        <v>0</v>
      </c>
      <c r="O497" t="str">
        <f>VLOOKUP(B497,Products!$A$2:$D$9,3,FALSE)</f>
        <v>Finished Goods</v>
      </c>
    </row>
    <row r="498" spans="1:15" x14ac:dyDescent="0.25">
      <c r="A498" s="14" t="s">
        <v>524</v>
      </c>
      <c r="B498" s="2" t="s">
        <v>44</v>
      </c>
      <c r="C498" s="2" t="s">
        <v>57</v>
      </c>
      <c r="D498" s="2" t="s">
        <v>13</v>
      </c>
      <c r="E498" s="3">
        <v>45604</v>
      </c>
      <c r="F498" s="20">
        <v>45625</v>
      </c>
      <c r="G498" s="20">
        <v>45625</v>
      </c>
      <c r="H498" s="2">
        <v>1880</v>
      </c>
      <c r="I498" s="2">
        <v>1836</v>
      </c>
      <c r="J498" s="4" t="s">
        <v>14</v>
      </c>
      <c r="K498">
        <f>Table1[[#This Row],[Delivered Qty]]/Table1[[#This Row],[Ordered Qty]]</f>
        <v>0.97659574468085109</v>
      </c>
      <c r="L498">
        <f>VLOOKUP(Table1[[#This Row],[Supplier ID]],Suppliers!$A$2:$D$6,4,FALSE)</f>
        <v>21</v>
      </c>
      <c r="M498">
        <f>Table1[[#This Row],[Actual Delivery]]-Table1[[#This Row],[Order Date]]-Table1[[#This Row],[std Lead time]]</f>
        <v>0</v>
      </c>
      <c r="N498">
        <f>IF(AND(Table1[[#This Row],[Status]] = "Delivered", Table1[[#This Row],[Actual Delivery]] &lt;= Table1[[#This Row],[Promised Delivery]],Table1[[#This Row],[FillRate]]&gt;=0.95),1,0)</f>
        <v>1</v>
      </c>
      <c r="O498" t="str">
        <f>VLOOKUP(B498,Products!$A$2:$D$9,3,FALSE)</f>
        <v>Finished Goods</v>
      </c>
    </row>
    <row r="499" spans="1:15" x14ac:dyDescent="0.25">
      <c r="A499" s="15" t="s">
        <v>525</v>
      </c>
      <c r="B499" s="5" t="s">
        <v>37</v>
      </c>
      <c r="C499" s="5" t="s">
        <v>31</v>
      </c>
      <c r="D499" s="5" t="s">
        <v>23</v>
      </c>
      <c r="E499" s="6">
        <v>45611</v>
      </c>
      <c r="F499" s="21">
        <v>45616</v>
      </c>
      <c r="G499" s="21">
        <v>45615</v>
      </c>
      <c r="H499" s="5">
        <v>470</v>
      </c>
      <c r="I499" s="5">
        <v>428</v>
      </c>
      <c r="J499" s="4" t="s">
        <v>14</v>
      </c>
      <c r="K499">
        <f>Table1[[#This Row],[Delivered Qty]]/Table1[[#This Row],[Ordered Qty]]</f>
        <v>0.91063829787234041</v>
      </c>
      <c r="L499">
        <f>VLOOKUP(Table1[[#This Row],[Supplier ID]],Suppliers!$A$2:$D$6,4,FALSE)</f>
        <v>5</v>
      </c>
      <c r="M499">
        <f>Table1[[#This Row],[Actual Delivery]]-Table1[[#This Row],[Order Date]]-Table1[[#This Row],[std Lead time]]</f>
        <v>-1</v>
      </c>
      <c r="N499">
        <f>IF(AND(Table1[[#This Row],[Status]] = "Delivered", Table1[[#This Row],[Actual Delivery]] &lt;= Table1[[#This Row],[Promised Delivery]],Table1[[#This Row],[FillRate]]&gt;=0.95),1,0)</f>
        <v>0</v>
      </c>
      <c r="O499" t="str">
        <f>VLOOKUP(B499,Products!$A$2:$D$9,3,FALSE)</f>
        <v>Raw Material</v>
      </c>
    </row>
    <row r="500" spans="1:15" x14ac:dyDescent="0.25">
      <c r="A500" s="14" t="s">
        <v>526</v>
      </c>
      <c r="B500" s="2" t="s">
        <v>20</v>
      </c>
      <c r="C500" s="2" t="s">
        <v>17</v>
      </c>
      <c r="D500" s="2" t="s">
        <v>18</v>
      </c>
      <c r="E500" s="3">
        <v>45623</v>
      </c>
      <c r="F500" s="20">
        <v>45629</v>
      </c>
      <c r="G500" s="20">
        <v>45627</v>
      </c>
      <c r="H500" s="2">
        <v>1174</v>
      </c>
      <c r="I500" s="2">
        <v>1162</v>
      </c>
      <c r="J500" s="4" t="s">
        <v>14</v>
      </c>
      <c r="K500">
        <f>Table1[[#This Row],[Delivered Qty]]/Table1[[#This Row],[Ordered Qty]]</f>
        <v>0.989778534923339</v>
      </c>
      <c r="L500">
        <f>VLOOKUP(Table1[[#This Row],[Supplier ID]],Suppliers!$A$2:$D$6,4,FALSE)</f>
        <v>6</v>
      </c>
      <c r="M500">
        <f>Table1[[#This Row],[Actual Delivery]]-Table1[[#This Row],[Order Date]]-Table1[[#This Row],[std Lead time]]</f>
        <v>-2</v>
      </c>
      <c r="N500">
        <f>IF(AND(Table1[[#This Row],[Status]] = "Delivered", Table1[[#This Row],[Actual Delivery]] &lt;= Table1[[#This Row],[Promised Delivery]],Table1[[#This Row],[FillRate]]&gt;=0.95),1,0)</f>
        <v>1</v>
      </c>
      <c r="O500" t="str">
        <f>VLOOKUP(B500,Products!$A$2:$D$9,3,FALSE)</f>
        <v>Raw Material</v>
      </c>
    </row>
    <row r="501" spans="1:15" x14ac:dyDescent="0.25">
      <c r="A501" s="15" t="s">
        <v>527</v>
      </c>
      <c r="B501" s="5" t="s">
        <v>11</v>
      </c>
      <c r="C501" s="5" t="s">
        <v>17</v>
      </c>
      <c r="D501" s="5" t="s">
        <v>28</v>
      </c>
      <c r="E501" s="6">
        <v>45599</v>
      </c>
      <c r="F501" s="21">
        <v>45605</v>
      </c>
      <c r="G501" s="21">
        <v>45605</v>
      </c>
      <c r="H501" s="5">
        <v>1304</v>
      </c>
      <c r="I501" s="5">
        <v>1254</v>
      </c>
      <c r="J501" s="4" t="s">
        <v>14</v>
      </c>
      <c r="K501">
        <f>Table1[[#This Row],[Delivered Qty]]/Table1[[#This Row],[Ordered Qty]]</f>
        <v>0.96165644171779141</v>
      </c>
      <c r="L501">
        <f>VLOOKUP(Table1[[#This Row],[Supplier ID]],Suppliers!$A$2:$D$6,4,FALSE)</f>
        <v>6</v>
      </c>
      <c r="M501">
        <f>Table1[[#This Row],[Actual Delivery]]-Table1[[#This Row],[Order Date]]-Table1[[#This Row],[std Lead time]]</f>
        <v>0</v>
      </c>
      <c r="N501">
        <f>IF(AND(Table1[[#This Row],[Status]] = "Delivered", Table1[[#This Row],[Actual Delivery]] &lt;= Table1[[#This Row],[Promised Delivery]],Table1[[#This Row],[FillRate]]&gt;=0.95),1,0)</f>
        <v>1</v>
      </c>
      <c r="O501" t="str">
        <f>VLOOKUP(B501,Products!$A$2:$D$9,3,FALSE)</f>
        <v>Packaging</v>
      </c>
    </row>
    <row r="502" spans="1:15" x14ac:dyDescent="0.25">
      <c r="A502" s="14" t="s">
        <v>528</v>
      </c>
      <c r="B502" s="2" t="s">
        <v>22</v>
      </c>
      <c r="C502" s="2" t="s">
        <v>17</v>
      </c>
      <c r="D502" s="2" t="s">
        <v>18</v>
      </c>
      <c r="E502" s="3">
        <v>45608</v>
      </c>
      <c r="F502" s="20">
        <v>45614</v>
      </c>
      <c r="G502" s="20">
        <v>45613</v>
      </c>
      <c r="H502" s="2">
        <v>669</v>
      </c>
      <c r="I502" s="2">
        <v>664</v>
      </c>
      <c r="J502" s="4" t="s">
        <v>14</v>
      </c>
      <c r="K502">
        <f>Table1[[#This Row],[Delivered Qty]]/Table1[[#This Row],[Ordered Qty]]</f>
        <v>0.99252615844544101</v>
      </c>
      <c r="L502">
        <f>VLOOKUP(Table1[[#This Row],[Supplier ID]],Suppliers!$A$2:$D$6,4,FALSE)</f>
        <v>6</v>
      </c>
      <c r="M502">
        <f>Table1[[#This Row],[Actual Delivery]]-Table1[[#This Row],[Order Date]]-Table1[[#This Row],[std Lead time]]</f>
        <v>-1</v>
      </c>
      <c r="N502">
        <f>IF(AND(Table1[[#This Row],[Status]] = "Delivered", Table1[[#This Row],[Actual Delivery]] &lt;= Table1[[#This Row],[Promised Delivery]],Table1[[#This Row],[FillRate]]&gt;=0.95),1,0)</f>
        <v>1</v>
      </c>
      <c r="O502" t="str">
        <f>VLOOKUP(B502,Products!$A$2:$D$9,3,FALSE)</f>
        <v>Finished Goods</v>
      </c>
    </row>
    <row r="503" spans="1:15" x14ac:dyDescent="0.25">
      <c r="A503" s="15" t="s">
        <v>529</v>
      </c>
      <c r="B503" s="5" t="s">
        <v>44</v>
      </c>
      <c r="C503" s="5" t="s">
        <v>57</v>
      </c>
      <c r="D503" s="5" t="s">
        <v>23</v>
      </c>
      <c r="E503" s="6">
        <v>45615</v>
      </c>
      <c r="F503" s="21">
        <v>45636</v>
      </c>
      <c r="G503" s="21">
        <v>45635</v>
      </c>
      <c r="H503" s="5">
        <v>1177</v>
      </c>
      <c r="I503" s="5">
        <v>1149</v>
      </c>
      <c r="J503" s="4" t="s">
        <v>14</v>
      </c>
      <c r="K503">
        <f>Table1[[#This Row],[Delivered Qty]]/Table1[[#This Row],[Ordered Qty]]</f>
        <v>0.97621070518266784</v>
      </c>
      <c r="L503">
        <f>VLOOKUP(Table1[[#This Row],[Supplier ID]],Suppliers!$A$2:$D$6,4,FALSE)</f>
        <v>21</v>
      </c>
      <c r="M503">
        <f>Table1[[#This Row],[Actual Delivery]]-Table1[[#This Row],[Order Date]]-Table1[[#This Row],[std Lead time]]</f>
        <v>-1</v>
      </c>
      <c r="N503">
        <f>IF(AND(Table1[[#This Row],[Status]] = "Delivered", Table1[[#This Row],[Actual Delivery]] &lt;= Table1[[#This Row],[Promised Delivery]],Table1[[#This Row],[FillRate]]&gt;=0.95),1,0)</f>
        <v>1</v>
      </c>
      <c r="O503" t="str">
        <f>VLOOKUP(B503,Products!$A$2:$D$9,3,FALSE)</f>
        <v>Finished Goods</v>
      </c>
    </row>
    <row r="504" spans="1:15" x14ac:dyDescent="0.25">
      <c r="A504" s="14" t="s">
        <v>530</v>
      </c>
      <c r="B504" s="2" t="s">
        <v>16</v>
      </c>
      <c r="C504" s="2" t="s">
        <v>12</v>
      </c>
      <c r="D504" s="2" t="s">
        <v>18</v>
      </c>
      <c r="E504" s="3">
        <v>45605</v>
      </c>
      <c r="F504" s="20">
        <v>45623</v>
      </c>
      <c r="G504" s="20">
        <v>45623</v>
      </c>
      <c r="H504" s="2">
        <v>1816</v>
      </c>
      <c r="I504" s="2">
        <v>1419</v>
      </c>
      <c r="J504" s="4" t="s">
        <v>14</v>
      </c>
      <c r="K504">
        <f>Table1[[#This Row],[Delivered Qty]]/Table1[[#This Row],[Ordered Qty]]</f>
        <v>0.78138766519823788</v>
      </c>
      <c r="L504">
        <f>VLOOKUP(Table1[[#This Row],[Supplier ID]],Suppliers!$A$2:$D$6,4,FALSE)</f>
        <v>18</v>
      </c>
      <c r="M504">
        <f>Table1[[#This Row],[Actual Delivery]]-Table1[[#This Row],[Order Date]]-Table1[[#This Row],[std Lead time]]</f>
        <v>0</v>
      </c>
      <c r="N504">
        <f>IF(AND(Table1[[#This Row],[Status]] = "Delivered", Table1[[#This Row],[Actual Delivery]] &lt;= Table1[[#This Row],[Promised Delivery]],Table1[[#This Row],[FillRate]]&gt;=0.95),1,0)</f>
        <v>0</v>
      </c>
      <c r="O504" t="str">
        <f>VLOOKUP(B504,Products!$A$2:$D$9,3,FALSE)</f>
        <v>Packaging</v>
      </c>
    </row>
    <row r="505" spans="1:15" x14ac:dyDescent="0.25">
      <c r="A505" s="15" t="s">
        <v>531</v>
      </c>
      <c r="B505" s="5" t="s">
        <v>16</v>
      </c>
      <c r="C505" s="5" t="s">
        <v>17</v>
      </c>
      <c r="D505" s="5" t="s">
        <v>28</v>
      </c>
      <c r="E505" s="6">
        <v>45609</v>
      </c>
      <c r="F505" s="21">
        <v>45615</v>
      </c>
      <c r="G505" s="21">
        <v>45614</v>
      </c>
      <c r="H505" s="5">
        <v>1037</v>
      </c>
      <c r="I505" s="5">
        <v>891</v>
      </c>
      <c r="J505" s="4" t="s">
        <v>14</v>
      </c>
      <c r="K505">
        <f>Table1[[#This Row],[Delivered Qty]]/Table1[[#This Row],[Ordered Qty]]</f>
        <v>0.8592092574734812</v>
      </c>
      <c r="L505">
        <f>VLOOKUP(Table1[[#This Row],[Supplier ID]],Suppliers!$A$2:$D$6,4,FALSE)</f>
        <v>6</v>
      </c>
      <c r="M505">
        <f>Table1[[#This Row],[Actual Delivery]]-Table1[[#This Row],[Order Date]]-Table1[[#This Row],[std Lead time]]</f>
        <v>-1</v>
      </c>
      <c r="N505">
        <f>IF(AND(Table1[[#This Row],[Status]] = "Delivered", Table1[[#This Row],[Actual Delivery]] &lt;= Table1[[#This Row],[Promised Delivery]],Table1[[#This Row],[FillRate]]&gt;=0.95),1,0)</f>
        <v>0</v>
      </c>
      <c r="O505" t="str">
        <f>VLOOKUP(B505,Products!$A$2:$D$9,3,FALSE)</f>
        <v>Packaging</v>
      </c>
    </row>
    <row r="506" spans="1:15" x14ac:dyDescent="0.25">
      <c r="A506" s="14" t="s">
        <v>532</v>
      </c>
      <c r="B506" s="2" t="s">
        <v>33</v>
      </c>
      <c r="C506" s="2" t="s">
        <v>57</v>
      </c>
      <c r="D506" s="2" t="s">
        <v>23</v>
      </c>
      <c r="E506" s="3">
        <v>45605</v>
      </c>
      <c r="F506" s="20">
        <v>45626</v>
      </c>
      <c r="G506" s="20">
        <v>45626</v>
      </c>
      <c r="H506" s="2">
        <v>764</v>
      </c>
      <c r="I506" s="2">
        <v>763</v>
      </c>
      <c r="J506" s="4" t="s">
        <v>14</v>
      </c>
      <c r="K506">
        <f>Table1[[#This Row],[Delivered Qty]]/Table1[[#This Row],[Ordered Qty]]</f>
        <v>0.99869109947643975</v>
      </c>
      <c r="L506">
        <f>VLOOKUP(Table1[[#This Row],[Supplier ID]],Suppliers!$A$2:$D$6,4,FALSE)</f>
        <v>21</v>
      </c>
      <c r="M506">
        <f>Table1[[#This Row],[Actual Delivery]]-Table1[[#This Row],[Order Date]]-Table1[[#This Row],[std Lead time]]</f>
        <v>0</v>
      </c>
      <c r="N506">
        <f>IF(AND(Table1[[#This Row],[Status]] = "Delivered", Table1[[#This Row],[Actual Delivery]] &lt;= Table1[[#This Row],[Promised Delivery]],Table1[[#This Row],[FillRate]]&gt;=0.95),1,0)</f>
        <v>1</v>
      </c>
      <c r="O506" t="str">
        <f>VLOOKUP(B506,Products!$A$2:$D$9,3,FALSE)</f>
        <v>Raw Material</v>
      </c>
    </row>
    <row r="507" spans="1:15" x14ac:dyDescent="0.25">
      <c r="A507" s="15" t="s">
        <v>533</v>
      </c>
      <c r="B507" s="5" t="s">
        <v>22</v>
      </c>
      <c r="C507" s="5" t="s">
        <v>31</v>
      </c>
      <c r="D507" s="5" t="s">
        <v>18</v>
      </c>
      <c r="E507" s="6">
        <v>45614</v>
      </c>
      <c r="F507" s="21">
        <v>45619</v>
      </c>
      <c r="G507" s="21">
        <v>45619</v>
      </c>
      <c r="H507" s="5">
        <v>1336</v>
      </c>
      <c r="I507" s="5">
        <v>1267</v>
      </c>
      <c r="J507" s="4" t="s">
        <v>14</v>
      </c>
      <c r="K507">
        <f>Table1[[#This Row],[Delivered Qty]]/Table1[[#This Row],[Ordered Qty]]</f>
        <v>0.94835329341317365</v>
      </c>
      <c r="L507">
        <f>VLOOKUP(Table1[[#This Row],[Supplier ID]],Suppliers!$A$2:$D$6,4,FALSE)</f>
        <v>5</v>
      </c>
      <c r="M507">
        <f>Table1[[#This Row],[Actual Delivery]]-Table1[[#This Row],[Order Date]]-Table1[[#This Row],[std Lead time]]</f>
        <v>0</v>
      </c>
      <c r="N507">
        <f>IF(AND(Table1[[#This Row],[Status]] = "Delivered", Table1[[#This Row],[Actual Delivery]] &lt;= Table1[[#This Row],[Promised Delivery]],Table1[[#This Row],[FillRate]]&gt;=0.95),1,0)</f>
        <v>0</v>
      </c>
      <c r="O507" t="str">
        <f>VLOOKUP(B507,Products!$A$2:$D$9,3,FALSE)</f>
        <v>Finished Goods</v>
      </c>
    </row>
    <row r="508" spans="1:15" x14ac:dyDescent="0.25">
      <c r="A508" s="14" t="s">
        <v>534</v>
      </c>
      <c r="B508" s="2" t="s">
        <v>37</v>
      </c>
      <c r="C508" s="2" t="s">
        <v>17</v>
      </c>
      <c r="D508" s="2" t="s">
        <v>23</v>
      </c>
      <c r="E508" s="3">
        <v>45621</v>
      </c>
      <c r="F508" s="20">
        <v>45627</v>
      </c>
      <c r="G508" s="20">
        <v>45633</v>
      </c>
      <c r="H508" s="2">
        <v>443</v>
      </c>
      <c r="I508" s="2">
        <v>431</v>
      </c>
      <c r="J508" s="4" t="s">
        <v>14</v>
      </c>
      <c r="K508">
        <f>Table1[[#This Row],[Delivered Qty]]/Table1[[#This Row],[Ordered Qty]]</f>
        <v>0.97291196388261847</v>
      </c>
      <c r="L508">
        <f>VLOOKUP(Table1[[#This Row],[Supplier ID]],Suppliers!$A$2:$D$6,4,FALSE)</f>
        <v>6</v>
      </c>
      <c r="M508">
        <f>Table1[[#This Row],[Actual Delivery]]-Table1[[#This Row],[Order Date]]-Table1[[#This Row],[std Lead time]]</f>
        <v>6</v>
      </c>
      <c r="N508">
        <f>IF(AND(Table1[[#This Row],[Status]] = "Delivered", Table1[[#This Row],[Actual Delivery]] &lt;= Table1[[#This Row],[Promised Delivery]],Table1[[#This Row],[FillRate]]&gt;=0.95),1,0)</f>
        <v>0</v>
      </c>
      <c r="O508" t="str">
        <f>VLOOKUP(B508,Products!$A$2:$D$9,3,FALSE)</f>
        <v>Raw Material</v>
      </c>
    </row>
    <row r="509" spans="1:15" x14ac:dyDescent="0.25">
      <c r="A509" s="15" t="s">
        <v>535</v>
      </c>
      <c r="B509" s="5" t="s">
        <v>44</v>
      </c>
      <c r="C509" s="5" t="s">
        <v>31</v>
      </c>
      <c r="D509" s="5" t="s">
        <v>28</v>
      </c>
      <c r="E509" s="6">
        <v>45603</v>
      </c>
      <c r="F509" s="21">
        <v>45608</v>
      </c>
      <c r="G509" s="21">
        <v>45613</v>
      </c>
      <c r="H509" s="5">
        <v>1457</v>
      </c>
      <c r="I509" s="5">
        <v>1412</v>
      </c>
      <c r="J509" s="4" t="s">
        <v>14</v>
      </c>
      <c r="K509">
        <f>Table1[[#This Row],[Delivered Qty]]/Table1[[#This Row],[Ordered Qty]]</f>
        <v>0.96911461908030194</v>
      </c>
      <c r="L509">
        <f>VLOOKUP(Table1[[#This Row],[Supplier ID]],Suppliers!$A$2:$D$6,4,FALSE)</f>
        <v>5</v>
      </c>
      <c r="M509">
        <f>Table1[[#This Row],[Actual Delivery]]-Table1[[#This Row],[Order Date]]-Table1[[#This Row],[std Lead time]]</f>
        <v>5</v>
      </c>
      <c r="N509">
        <f>IF(AND(Table1[[#This Row],[Status]] = "Delivered", Table1[[#This Row],[Actual Delivery]] &lt;= Table1[[#This Row],[Promised Delivery]],Table1[[#This Row],[FillRate]]&gt;=0.95),1,0)</f>
        <v>0</v>
      </c>
      <c r="O509" t="str">
        <f>VLOOKUP(B509,Products!$A$2:$D$9,3,FALSE)</f>
        <v>Finished Goods</v>
      </c>
    </row>
    <row r="510" spans="1:15" x14ac:dyDescent="0.25">
      <c r="A510" s="14" t="s">
        <v>536</v>
      </c>
      <c r="B510" s="2" t="s">
        <v>11</v>
      </c>
      <c r="C510" s="2" t="s">
        <v>31</v>
      </c>
      <c r="D510" s="2" t="s">
        <v>18</v>
      </c>
      <c r="E510" s="3">
        <v>45617</v>
      </c>
      <c r="F510" s="20">
        <v>45622</v>
      </c>
      <c r="G510" s="20">
        <v>45624</v>
      </c>
      <c r="H510" s="2">
        <v>1165</v>
      </c>
      <c r="I510" s="2">
        <v>1145</v>
      </c>
      <c r="J510" s="4" t="s">
        <v>14</v>
      </c>
      <c r="K510">
        <f>Table1[[#This Row],[Delivered Qty]]/Table1[[#This Row],[Ordered Qty]]</f>
        <v>0.98283261802575106</v>
      </c>
      <c r="L510">
        <f>VLOOKUP(Table1[[#This Row],[Supplier ID]],Suppliers!$A$2:$D$6,4,FALSE)</f>
        <v>5</v>
      </c>
      <c r="M510">
        <f>Table1[[#This Row],[Actual Delivery]]-Table1[[#This Row],[Order Date]]-Table1[[#This Row],[std Lead time]]</f>
        <v>2</v>
      </c>
      <c r="N510">
        <f>IF(AND(Table1[[#This Row],[Status]] = "Delivered", Table1[[#This Row],[Actual Delivery]] &lt;= Table1[[#This Row],[Promised Delivery]],Table1[[#This Row],[FillRate]]&gt;=0.95),1,0)</f>
        <v>0</v>
      </c>
      <c r="O510" t="str">
        <f>VLOOKUP(B510,Products!$A$2:$D$9,3,FALSE)</f>
        <v>Packaging</v>
      </c>
    </row>
    <row r="511" spans="1:15" x14ac:dyDescent="0.25">
      <c r="A511" s="15" t="s">
        <v>537</v>
      </c>
      <c r="B511" s="5" t="s">
        <v>22</v>
      </c>
      <c r="C511" s="5" t="s">
        <v>26</v>
      </c>
      <c r="D511" s="5" t="s">
        <v>28</v>
      </c>
      <c r="E511" s="6">
        <v>45605</v>
      </c>
      <c r="F511" s="21">
        <v>45612</v>
      </c>
      <c r="G511" s="21">
        <v>45612</v>
      </c>
      <c r="H511" s="5">
        <v>277</v>
      </c>
      <c r="I511" s="5">
        <v>269</v>
      </c>
      <c r="J511" s="4" t="s">
        <v>14</v>
      </c>
      <c r="K511">
        <f>Table1[[#This Row],[Delivered Qty]]/Table1[[#This Row],[Ordered Qty]]</f>
        <v>0.97111913357400725</v>
      </c>
      <c r="L511">
        <f>VLOOKUP(Table1[[#This Row],[Supplier ID]],Suppliers!$A$2:$D$6,4,FALSE)</f>
        <v>7</v>
      </c>
      <c r="M511">
        <f>Table1[[#This Row],[Actual Delivery]]-Table1[[#This Row],[Order Date]]-Table1[[#This Row],[std Lead time]]</f>
        <v>0</v>
      </c>
      <c r="N511">
        <f>IF(AND(Table1[[#This Row],[Status]] = "Delivered", Table1[[#This Row],[Actual Delivery]] &lt;= Table1[[#This Row],[Promised Delivery]],Table1[[#This Row],[FillRate]]&gt;=0.95),1,0)</f>
        <v>1</v>
      </c>
      <c r="O511" t="str">
        <f>VLOOKUP(B511,Products!$A$2:$D$9,3,FALSE)</f>
        <v>Finished Goods</v>
      </c>
    </row>
    <row r="512" spans="1:15" x14ac:dyDescent="0.25">
      <c r="A512" s="14" t="s">
        <v>538</v>
      </c>
      <c r="B512" s="2" t="s">
        <v>22</v>
      </c>
      <c r="C512" s="2" t="s">
        <v>17</v>
      </c>
      <c r="D512" s="2" t="s">
        <v>23</v>
      </c>
      <c r="E512" s="3">
        <v>45619</v>
      </c>
      <c r="F512" s="20">
        <v>45625</v>
      </c>
      <c r="G512" s="20">
        <v>45627</v>
      </c>
      <c r="H512" s="2">
        <v>1511</v>
      </c>
      <c r="I512" s="2">
        <v>1434</v>
      </c>
      <c r="J512" s="4" t="s">
        <v>14</v>
      </c>
      <c r="K512">
        <f>Table1[[#This Row],[Delivered Qty]]/Table1[[#This Row],[Ordered Qty]]</f>
        <v>0.94904037061548641</v>
      </c>
      <c r="L512">
        <f>VLOOKUP(Table1[[#This Row],[Supplier ID]],Suppliers!$A$2:$D$6,4,FALSE)</f>
        <v>6</v>
      </c>
      <c r="M512">
        <f>Table1[[#This Row],[Actual Delivery]]-Table1[[#This Row],[Order Date]]-Table1[[#This Row],[std Lead time]]</f>
        <v>2</v>
      </c>
      <c r="N512">
        <f>IF(AND(Table1[[#This Row],[Status]] = "Delivered", Table1[[#This Row],[Actual Delivery]] &lt;= Table1[[#This Row],[Promised Delivery]],Table1[[#This Row],[FillRate]]&gt;=0.95),1,0)</f>
        <v>0</v>
      </c>
      <c r="O512" t="str">
        <f>VLOOKUP(B512,Products!$A$2:$D$9,3,FALSE)</f>
        <v>Finished Goods</v>
      </c>
    </row>
    <row r="513" spans="1:15" x14ac:dyDescent="0.25">
      <c r="A513" s="15" t="s">
        <v>539</v>
      </c>
      <c r="B513" s="5" t="s">
        <v>11</v>
      </c>
      <c r="C513" s="5" t="s">
        <v>31</v>
      </c>
      <c r="D513" s="5" t="s">
        <v>23</v>
      </c>
      <c r="E513" s="6">
        <v>45603</v>
      </c>
      <c r="F513" s="21">
        <v>45608</v>
      </c>
      <c r="G513" s="21">
        <v>45613</v>
      </c>
      <c r="H513" s="5">
        <v>1256</v>
      </c>
      <c r="I513" s="5">
        <v>1172</v>
      </c>
      <c r="J513" s="4" t="s">
        <v>14</v>
      </c>
      <c r="K513">
        <f>Table1[[#This Row],[Delivered Qty]]/Table1[[#This Row],[Ordered Qty]]</f>
        <v>0.93312101910828027</v>
      </c>
      <c r="L513">
        <f>VLOOKUP(Table1[[#This Row],[Supplier ID]],Suppliers!$A$2:$D$6,4,FALSE)</f>
        <v>5</v>
      </c>
      <c r="M513">
        <f>Table1[[#This Row],[Actual Delivery]]-Table1[[#This Row],[Order Date]]-Table1[[#This Row],[std Lead time]]</f>
        <v>5</v>
      </c>
      <c r="N513">
        <f>IF(AND(Table1[[#This Row],[Status]] = "Delivered", Table1[[#This Row],[Actual Delivery]] &lt;= Table1[[#This Row],[Promised Delivery]],Table1[[#This Row],[FillRate]]&gt;=0.95),1,0)</f>
        <v>0</v>
      </c>
      <c r="O513" t="str">
        <f>VLOOKUP(B513,Products!$A$2:$D$9,3,FALSE)</f>
        <v>Packaging</v>
      </c>
    </row>
    <row r="514" spans="1:15" x14ac:dyDescent="0.25">
      <c r="A514" s="14" t="s">
        <v>540</v>
      </c>
      <c r="B514" s="2" t="s">
        <v>33</v>
      </c>
      <c r="C514" s="2" t="s">
        <v>26</v>
      </c>
      <c r="D514" s="2" t="s">
        <v>23</v>
      </c>
      <c r="E514" s="3">
        <v>45604</v>
      </c>
      <c r="F514" s="20">
        <v>45611</v>
      </c>
      <c r="G514" s="20">
        <v>45619</v>
      </c>
      <c r="H514" s="2">
        <v>765</v>
      </c>
      <c r="I514" s="2">
        <v>748</v>
      </c>
      <c r="J514" s="4" t="s">
        <v>14</v>
      </c>
      <c r="K514">
        <f>Table1[[#This Row],[Delivered Qty]]/Table1[[#This Row],[Ordered Qty]]</f>
        <v>0.97777777777777775</v>
      </c>
      <c r="L514">
        <f>VLOOKUP(Table1[[#This Row],[Supplier ID]],Suppliers!$A$2:$D$6,4,FALSE)</f>
        <v>7</v>
      </c>
      <c r="M514">
        <f>Table1[[#This Row],[Actual Delivery]]-Table1[[#This Row],[Order Date]]-Table1[[#This Row],[std Lead time]]</f>
        <v>8</v>
      </c>
      <c r="N514">
        <f>IF(AND(Table1[[#This Row],[Status]] = "Delivered", Table1[[#This Row],[Actual Delivery]] &lt;= Table1[[#This Row],[Promised Delivery]],Table1[[#This Row],[FillRate]]&gt;=0.95),1,0)</f>
        <v>0</v>
      </c>
      <c r="O514" t="str">
        <f>VLOOKUP(B514,Products!$A$2:$D$9,3,FALSE)</f>
        <v>Raw Material</v>
      </c>
    </row>
    <row r="515" spans="1:15" x14ac:dyDescent="0.25">
      <c r="A515" s="15" t="s">
        <v>541</v>
      </c>
      <c r="B515" s="5" t="s">
        <v>30</v>
      </c>
      <c r="C515" s="5" t="s">
        <v>57</v>
      </c>
      <c r="D515" s="5" t="s">
        <v>18</v>
      </c>
      <c r="E515" s="6">
        <v>45615</v>
      </c>
      <c r="F515" s="21">
        <v>45636</v>
      </c>
      <c r="G515" s="21">
        <v>45636</v>
      </c>
      <c r="H515" s="5">
        <v>1641</v>
      </c>
      <c r="I515" s="5">
        <v>1488</v>
      </c>
      <c r="J515" s="4" t="s">
        <v>14</v>
      </c>
      <c r="K515">
        <f>Table1[[#This Row],[Delivered Qty]]/Table1[[#This Row],[Ordered Qty]]</f>
        <v>0.90676416819012795</v>
      </c>
      <c r="L515">
        <f>VLOOKUP(Table1[[#This Row],[Supplier ID]],Suppliers!$A$2:$D$6,4,FALSE)</f>
        <v>21</v>
      </c>
      <c r="M515">
        <f>Table1[[#This Row],[Actual Delivery]]-Table1[[#This Row],[Order Date]]-Table1[[#This Row],[std Lead time]]</f>
        <v>0</v>
      </c>
      <c r="N515">
        <f>IF(AND(Table1[[#This Row],[Status]] = "Delivered", Table1[[#This Row],[Actual Delivery]] &lt;= Table1[[#This Row],[Promised Delivery]],Table1[[#This Row],[FillRate]]&gt;=0.95),1,0)</f>
        <v>0</v>
      </c>
      <c r="O515" t="str">
        <f>VLOOKUP(B515,Products!$A$2:$D$9,3,FALSE)</f>
        <v>Finished Goods</v>
      </c>
    </row>
    <row r="516" spans="1:15" x14ac:dyDescent="0.25">
      <c r="A516" s="14" t="s">
        <v>542</v>
      </c>
      <c r="B516" s="2" t="s">
        <v>16</v>
      </c>
      <c r="C516" s="2" t="s">
        <v>17</v>
      </c>
      <c r="D516" s="2" t="s">
        <v>23</v>
      </c>
      <c r="E516" s="3">
        <v>45620</v>
      </c>
      <c r="F516" s="20">
        <v>45626</v>
      </c>
      <c r="G516" s="20">
        <v>45625</v>
      </c>
      <c r="H516" s="2">
        <v>663</v>
      </c>
      <c r="I516" s="2">
        <v>605</v>
      </c>
      <c r="J516" s="4" t="s">
        <v>14</v>
      </c>
      <c r="K516">
        <f>Table1[[#This Row],[Delivered Qty]]/Table1[[#This Row],[Ordered Qty]]</f>
        <v>0.91251885369532426</v>
      </c>
      <c r="L516">
        <f>VLOOKUP(Table1[[#This Row],[Supplier ID]],Suppliers!$A$2:$D$6,4,FALSE)</f>
        <v>6</v>
      </c>
      <c r="M516">
        <f>Table1[[#This Row],[Actual Delivery]]-Table1[[#This Row],[Order Date]]-Table1[[#This Row],[std Lead time]]</f>
        <v>-1</v>
      </c>
      <c r="N516">
        <f>IF(AND(Table1[[#This Row],[Status]] = "Delivered", Table1[[#This Row],[Actual Delivery]] &lt;= Table1[[#This Row],[Promised Delivery]],Table1[[#This Row],[FillRate]]&gt;=0.95),1,0)</f>
        <v>0</v>
      </c>
      <c r="O516" t="str">
        <f>VLOOKUP(B516,Products!$A$2:$D$9,3,FALSE)</f>
        <v>Packaging</v>
      </c>
    </row>
    <row r="517" spans="1:15" x14ac:dyDescent="0.25">
      <c r="A517" s="15" t="s">
        <v>543</v>
      </c>
      <c r="B517" s="5" t="s">
        <v>20</v>
      </c>
      <c r="C517" s="5" t="s">
        <v>57</v>
      </c>
      <c r="D517" s="5" t="s">
        <v>18</v>
      </c>
      <c r="E517" s="6">
        <v>45615</v>
      </c>
      <c r="F517" s="21">
        <v>45636</v>
      </c>
      <c r="G517" s="21">
        <v>45635</v>
      </c>
      <c r="H517" s="5">
        <v>1236</v>
      </c>
      <c r="I517" s="5">
        <v>1125</v>
      </c>
      <c r="J517" s="4" t="s">
        <v>14</v>
      </c>
      <c r="K517">
        <f>Table1[[#This Row],[Delivered Qty]]/Table1[[#This Row],[Ordered Qty]]</f>
        <v>0.91019417475728159</v>
      </c>
      <c r="L517">
        <f>VLOOKUP(Table1[[#This Row],[Supplier ID]],Suppliers!$A$2:$D$6,4,FALSE)</f>
        <v>21</v>
      </c>
      <c r="M517">
        <f>Table1[[#This Row],[Actual Delivery]]-Table1[[#This Row],[Order Date]]-Table1[[#This Row],[std Lead time]]</f>
        <v>-1</v>
      </c>
      <c r="N517">
        <f>IF(AND(Table1[[#This Row],[Status]] = "Delivered", Table1[[#This Row],[Actual Delivery]] &lt;= Table1[[#This Row],[Promised Delivery]],Table1[[#This Row],[FillRate]]&gt;=0.95),1,0)</f>
        <v>0</v>
      </c>
      <c r="O517" t="str">
        <f>VLOOKUP(B517,Products!$A$2:$D$9,3,FALSE)</f>
        <v>Raw Material</v>
      </c>
    </row>
    <row r="518" spans="1:15" x14ac:dyDescent="0.25">
      <c r="A518" s="14" t="s">
        <v>544</v>
      </c>
      <c r="B518" s="2" t="s">
        <v>16</v>
      </c>
      <c r="C518" s="2" t="s">
        <v>17</v>
      </c>
      <c r="D518" s="2" t="s">
        <v>23</v>
      </c>
      <c r="E518" s="3">
        <v>45607</v>
      </c>
      <c r="F518" s="20">
        <v>45613</v>
      </c>
      <c r="G518" s="20">
        <v>45616</v>
      </c>
      <c r="H518" s="2">
        <v>1994</v>
      </c>
      <c r="I518" s="2">
        <v>1791</v>
      </c>
      <c r="J518" s="4" t="s">
        <v>14</v>
      </c>
      <c r="K518">
        <f>Table1[[#This Row],[Delivered Qty]]/Table1[[#This Row],[Ordered Qty]]</f>
        <v>0.89819458375125372</v>
      </c>
      <c r="L518">
        <f>VLOOKUP(Table1[[#This Row],[Supplier ID]],Suppliers!$A$2:$D$6,4,FALSE)</f>
        <v>6</v>
      </c>
      <c r="M518">
        <f>Table1[[#This Row],[Actual Delivery]]-Table1[[#This Row],[Order Date]]-Table1[[#This Row],[std Lead time]]</f>
        <v>3</v>
      </c>
      <c r="N518">
        <f>IF(AND(Table1[[#This Row],[Status]] = "Delivered", Table1[[#This Row],[Actual Delivery]] &lt;= Table1[[#This Row],[Promised Delivery]],Table1[[#This Row],[FillRate]]&gt;=0.95),1,0)</f>
        <v>0</v>
      </c>
      <c r="O518" t="str">
        <f>VLOOKUP(B518,Products!$A$2:$D$9,3,FALSE)</f>
        <v>Packaging</v>
      </c>
    </row>
    <row r="519" spans="1:15" x14ac:dyDescent="0.25">
      <c r="A519" s="15" t="s">
        <v>545</v>
      </c>
      <c r="B519" s="5" t="s">
        <v>37</v>
      </c>
      <c r="C519" s="5" t="s">
        <v>57</v>
      </c>
      <c r="D519" s="5" t="s">
        <v>18</v>
      </c>
      <c r="E519" s="6">
        <v>45615</v>
      </c>
      <c r="F519" s="21">
        <v>45636</v>
      </c>
      <c r="G519" s="21">
        <v>45639</v>
      </c>
      <c r="H519" s="5">
        <v>1788</v>
      </c>
      <c r="I519" s="5">
        <v>1691</v>
      </c>
      <c r="J519" s="4" t="s">
        <v>14</v>
      </c>
      <c r="K519">
        <f>Table1[[#This Row],[Delivered Qty]]/Table1[[#This Row],[Ordered Qty]]</f>
        <v>0.94574944071588363</v>
      </c>
      <c r="L519">
        <f>VLOOKUP(Table1[[#This Row],[Supplier ID]],Suppliers!$A$2:$D$6,4,FALSE)</f>
        <v>21</v>
      </c>
      <c r="M519">
        <f>Table1[[#This Row],[Actual Delivery]]-Table1[[#This Row],[Order Date]]-Table1[[#This Row],[std Lead time]]</f>
        <v>3</v>
      </c>
      <c r="N519">
        <f>IF(AND(Table1[[#This Row],[Status]] = "Delivered", Table1[[#This Row],[Actual Delivery]] &lt;= Table1[[#This Row],[Promised Delivery]],Table1[[#This Row],[FillRate]]&gt;=0.95),1,0)</f>
        <v>0</v>
      </c>
      <c r="O519" t="str">
        <f>VLOOKUP(B519,Products!$A$2:$D$9,3,FALSE)</f>
        <v>Raw Material</v>
      </c>
    </row>
    <row r="520" spans="1:15" x14ac:dyDescent="0.25">
      <c r="A520" s="14" t="s">
        <v>546</v>
      </c>
      <c r="B520" s="2" t="s">
        <v>44</v>
      </c>
      <c r="C520" s="2" t="s">
        <v>17</v>
      </c>
      <c r="D520" s="2" t="s">
        <v>28</v>
      </c>
      <c r="E520" s="3">
        <v>45612</v>
      </c>
      <c r="F520" s="20">
        <v>45618</v>
      </c>
      <c r="G520" s="20">
        <v>45617</v>
      </c>
      <c r="H520" s="2">
        <v>1497</v>
      </c>
      <c r="I520" s="2">
        <v>1465</v>
      </c>
      <c r="J520" s="4" t="s">
        <v>14</v>
      </c>
      <c r="K520">
        <f>Table1[[#This Row],[Delivered Qty]]/Table1[[#This Row],[Ordered Qty]]</f>
        <v>0.978623914495658</v>
      </c>
      <c r="L520">
        <f>VLOOKUP(Table1[[#This Row],[Supplier ID]],Suppliers!$A$2:$D$6,4,FALSE)</f>
        <v>6</v>
      </c>
      <c r="M520">
        <f>Table1[[#This Row],[Actual Delivery]]-Table1[[#This Row],[Order Date]]-Table1[[#This Row],[std Lead time]]</f>
        <v>-1</v>
      </c>
      <c r="N520">
        <f>IF(AND(Table1[[#This Row],[Status]] = "Delivered", Table1[[#This Row],[Actual Delivery]] &lt;= Table1[[#This Row],[Promised Delivery]],Table1[[#This Row],[FillRate]]&gt;=0.95),1,0)</f>
        <v>1</v>
      </c>
      <c r="O520" t="str">
        <f>VLOOKUP(B520,Products!$A$2:$D$9,3,FALSE)</f>
        <v>Finished Goods</v>
      </c>
    </row>
    <row r="521" spans="1:15" x14ac:dyDescent="0.25">
      <c r="A521" s="15" t="s">
        <v>547</v>
      </c>
      <c r="B521" s="5" t="s">
        <v>20</v>
      </c>
      <c r="C521" s="5" t="s">
        <v>31</v>
      </c>
      <c r="D521" s="5" t="s">
        <v>23</v>
      </c>
      <c r="E521" s="6">
        <v>45610</v>
      </c>
      <c r="F521" s="21">
        <v>45615</v>
      </c>
      <c r="G521" s="21">
        <v>45613</v>
      </c>
      <c r="H521" s="5">
        <v>1635</v>
      </c>
      <c r="I521" s="5">
        <v>1607</v>
      </c>
      <c r="J521" s="4" t="s">
        <v>14</v>
      </c>
      <c r="K521">
        <f>Table1[[#This Row],[Delivered Qty]]/Table1[[#This Row],[Ordered Qty]]</f>
        <v>0.98287461773700302</v>
      </c>
      <c r="L521">
        <f>VLOOKUP(Table1[[#This Row],[Supplier ID]],Suppliers!$A$2:$D$6,4,FALSE)</f>
        <v>5</v>
      </c>
      <c r="M521">
        <f>Table1[[#This Row],[Actual Delivery]]-Table1[[#This Row],[Order Date]]-Table1[[#This Row],[std Lead time]]</f>
        <v>-2</v>
      </c>
      <c r="N521">
        <f>IF(AND(Table1[[#This Row],[Status]] = "Delivered", Table1[[#This Row],[Actual Delivery]] &lt;= Table1[[#This Row],[Promised Delivery]],Table1[[#This Row],[FillRate]]&gt;=0.95),1,0)</f>
        <v>1</v>
      </c>
      <c r="O521" t="str">
        <f>VLOOKUP(B521,Products!$A$2:$D$9,3,FALSE)</f>
        <v>Raw Material</v>
      </c>
    </row>
    <row r="522" spans="1:15" x14ac:dyDescent="0.25">
      <c r="A522" s="14" t="s">
        <v>548</v>
      </c>
      <c r="B522" s="2" t="s">
        <v>20</v>
      </c>
      <c r="C522" s="2" t="s">
        <v>12</v>
      </c>
      <c r="D522" s="2" t="s">
        <v>28</v>
      </c>
      <c r="E522" s="3">
        <v>45609</v>
      </c>
      <c r="F522" s="20">
        <v>45627</v>
      </c>
      <c r="G522" s="20">
        <v>45625</v>
      </c>
      <c r="H522" s="2">
        <v>1175</v>
      </c>
      <c r="I522" s="2">
        <v>1094</v>
      </c>
      <c r="J522" s="4" t="s">
        <v>14</v>
      </c>
      <c r="K522">
        <f>Table1[[#This Row],[Delivered Qty]]/Table1[[#This Row],[Ordered Qty]]</f>
        <v>0.93106382978723401</v>
      </c>
      <c r="L522">
        <f>VLOOKUP(Table1[[#This Row],[Supplier ID]],Suppliers!$A$2:$D$6,4,FALSE)</f>
        <v>18</v>
      </c>
      <c r="M522">
        <f>Table1[[#This Row],[Actual Delivery]]-Table1[[#This Row],[Order Date]]-Table1[[#This Row],[std Lead time]]</f>
        <v>-2</v>
      </c>
      <c r="N522">
        <f>IF(AND(Table1[[#This Row],[Status]] = "Delivered", Table1[[#This Row],[Actual Delivery]] &lt;= Table1[[#This Row],[Promised Delivery]],Table1[[#This Row],[FillRate]]&gt;=0.95),1,0)</f>
        <v>0</v>
      </c>
      <c r="O522" t="str">
        <f>VLOOKUP(B522,Products!$A$2:$D$9,3,FALSE)</f>
        <v>Raw Material</v>
      </c>
    </row>
    <row r="523" spans="1:15" x14ac:dyDescent="0.25">
      <c r="A523" s="15" t="s">
        <v>549</v>
      </c>
      <c r="B523" s="5" t="s">
        <v>20</v>
      </c>
      <c r="C523" s="5" t="s">
        <v>17</v>
      </c>
      <c r="D523" s="5" t="s">
        <v>23</v>
      </c>
      <c r="E523" s="6">
        <v>45602</v>
      </c>
      <c r="F523" s="21">
        <v>45608</v>
      </c>
      <c r="G523" s="21">
        <v>45606</v>
      </c>
      <c r="H523" s="5">
        <v>680</v>
      </c>
      <c r="I523" s="5">
        <v>662</v>
      </c>
      <c r="J523" s="4" t="s">
        <v>14</v>
      </c>
      <c r="K523">
        <f>Table1[[#This Row],[Delivered Qty]]/Table1[[#This Row],[Ordered Qty]]</f>
        <v>0.97352941176470587</v>
      </c>
      <c r="L523">
        <f>VLOOKUP(Table1[[#This Row],[Supplier ID]],Suppliers!$A$2:$D$6,4,FALSE)</f>
        <v>6</v>
      </c>
      <c r="M523">
        <f>Table1[[#This Row],[Actual Delivery]]-Table1[[#This Row],[Order Date]]-Table1[[#This Row],[std Lead time]]</f>
        <v>-2</v>
      </c>
      <c r="N523">
        <f>IF(AND(Table1[[#This Row],[Status]] = "Delivered", Table1[[#This Row],[Actual Delivery]] &lt;= Table1[[#This Row],[Promised Delivery]],Table1[[#This Row],[FillRate]]&gt;=0.95),1,0)</f>
        <v>1</v>
      </c>
      <c r="O523" t="str">
        <f>VLOOKUP(B523,Products!$A$2:$D$9,3,FALSE)</f>
        <v>Raw Material</v>
      </c>
    </row>
    <row r="524" spans="1:15" x14ac:dyDescent="0.25">
      <c r="A524" s="14" t="s">
        <v>550</v>
      </c>
      <c r="B524" s="2" t="s">
        <v>37</v>
      </c>
      <c r="C524" s="2" t="s">
        <v>31</v>
      </c>
      <c r="D524" s="2" t="s">
        <v>13</v>
      </c>
      <c r="E524" s="3">
        <v>45603</v>
      </c>
      <c r="F524" s="20">
        <v>45608</v>
      </c>
      <c r="G524" s="20">
        <v>45611</v>
      </c>
      <c r="H524" s="2">
        <v>519</v>
      </c>
      <c r="I524" s="2">
        <v>507</v>
      </c>
      <c r="J524" s="4" t="s">
        <v>14</v>
      </c>
      <c r="K524">
        <f>Table1[[#This Row],[Delivered Qty]]/Table1[[#This Row],[Ordered Qty]]</f>
        <v>0.97687861271676302</v>
      </c>
      <c r="L524">
        <f>VLOOKUP(Table1[[#This Row],[Supplier ID]],Suppliers!$A$2:$D$6,4,FALSE)</f>
        <v>5</v>
      </c>
      <c r="M524">
        <f>Table1[[#This Row],[Actual Delivery]]-Table1[[#This Row],[Order Date]]-Table1[[#This Row],[std Lead time]]</f>
        <v>3</v>
      </c>
      <c r="N524">
        <f>IF(AND(Table1[[#This Row],[Status]] = "Delivered", Table1[[#This Row],[Actual Delivery]] &lt;= Table1[[#This Row],[Promised Delivery]],Table1[[#This Row],[FillRate]]&gt;=0.95),1,0)</f>
        <v>0</v>
      </c>
      <c r="O524" t="str">
        <f>VLOOKUP(B524,Products!$A$2:$D$9,3,FALSE)</f>
        <v>Raw Material</v>
      </c>
    </row>
    <row r="525" spans="1:15" x14ac:dyDescent="0.25">
      <c r="A525" s="15" t="s">
        <v>551</v>
      </c>
      <c r="B525" s="5" t="s">
        <v>16</v>
      </c>
      <c r="C525" s="5" t="s">
        <v>26</v>
      </c>
      <c r="D525" s="5" t="s">
        <v>18</v>
      </c>
      <c r="E525" s="6">
        <v>45616</v>
      </c>
      <c r="F525" s="21">
        <v>45623</v>
      </c>
      <c r="G525" s="21">
        <v>45628</v>
      </c>
      <c r="H525" s="5">
        <v>286</v>
      </c>
      <c r="I525" s="5">
        <v>276</v>
      </c>
      <c r="J525" s="4" t="s">
        <v>14</v>
      </c>
      <c r="K525">
        <f>Table1[[#This Row],[Delivered Qty]]/Table1[[#This Row],[Ordered Qty]]</f>
        <v>0.965034965034965</v>
      </c>
      <c r="L525">
        <f>VLOOKUP(Table1[[#This Row],[Supplier ID]],Suppliers!$A$2:$D$6,4,FALSE)</f>
        <v>7</v>
      </c>
      <c r="M525">
        <f>Table1[[#This Row],[Actual Delivery]]-Table1[[#This Row],[Order Date]]-Table1[[#This Row],[std Lead time]]</f>
        <v>5</v>
      </c>
      <c r="N525">
        <f>IF(AND(Table1[[#This Row],[Status]] = "Delivered", Table1[[#This Row],[Actual Delivery]] &lt;= Table1[[#This Row],[Promised Delivery]],Table1[[#This Row],[FillRate]]&gt;=0.95),1,0)</f>
        <v>0</v>
      </c>
      <c r="O525" t="str">
        <f>VLOOKUP(B525,Products!$A$2:$D$9,3,FALSE)</f>
        <v>Packaging</v>
      </c>
    </row>
    <row r="526" spans="1:15" x14ac:dyDescent="0.25">
      <c r="A526" s="14" t="s">
        <v>552</v>
      </c>
      <c r="B526" s="2" t="s">
        <v>30</v>
      </c>
      <c r="C526" s="2" t="s">
        <v>17</v>
      </c>
      <c r="D526" s="2" t="s">
        <v>23</v>
      </c>
      <c r="E526" s="3">
        <v>45612</v>
      </c>
      <c r="F526" s="20">
        <v>45618</v>
      </c>
      <c r="G526" s="20">
        <v>45618</v>
      </c>
      <c r="H526" s="2">
        <v>773</v>
      </c>
      <c r="I526" s="2">
        <v>726</v>
      </c>
      <c r="J526" s="4" t="s">
        <v>14</v>
      </c>
      <c r="K526">
        <f>Table1[[#This Row],[Delivered Qty]]/Table1[[#This Row],[Ordered Qty]]</f>
        <v>0.93919793014230268</v>
      </c>
      <c r="L526">
        <f>VLOOKUP(Table1[[#This Row],[Supplier ID]],Suppliers!$A$2:$D$6,4,FALSE)</f>
        <v>6</v>
      </c>
      <c r="M526">
        <f>Table1[[#This Row],[Actual Delivery]]-Table1[[#This Row],[Order Date]]-Table1[[#This Row],[std Lead time]]</f>
        <v>0</v>
      </c>
      <c r="N526">
        <f>IF(AND(Table1[[#This Row],[Status]] = "Delivered", Table1[[#This Row],[Actual Delivery]] &lt;= Table1[[#This Row],[Promised Delivery]],Table1[[#This Row],[FillRate]]&gt;=0.95),1,0)</f>
        <v>0</v>
      </c>
      <c r="O526" t="str">
        <f>VLOOKUP(B526,Products!$A$2:$D$9,3,FALSE)</f>
        <v>Finished Goods</v>
      </c>
    </row>
    <row r="527" spans="1:15" x14ac:dyDescent="0.25">
      <c r="A527" s="15" t="s">
        <v>553</v>
      </c>
      <c r="B527" s="5" t="s">
        <v>33</v>
      </c>
      <c r="C527" s="5" t="s">
        <v>26</v>
      </c>
      <c r="D527" s="5" t="s">
        <v>18</v>
      </c>
      <c r="E527" s="6">
        <v>45612</v>
      </c>
      <c r="F527" s="21">
        <v>45619</v>
      </c>
      <c r="G527" s="21">
        <v>45618</v>
      </c>
      <c r="H527" s="5">
        <v>1962</v>
      </c>
      <c r="I527" s="5">
        <v>1900</v>
      </c>
      <c r="J527" s="4" t="s">
        <v>14</v>
      </c>
      <c r="K527">
        <f>Table1[[#This Row],[Delivered Qty]]/Table1[[#This Row],[Ordered Qty]]</f>
        <v>0.96839959225280325</v>
      </c>
      <c r="L527">
        <f>VLOOKUP(Table1[[#This Row],[Supplier ID]],Suppliers!$A$2:$D$6,4,FALSE)</f>
        <v>7</v>
      </c>
      <c r="M527">
        <f>Table1[[#This Row],[Actual Delivery]]-Table1[[#This Row],[Order Date]]-Table1[[#This Row],[std Lead time]]</f>
        <v>-1</v>
      </c>
      <c r="N527">
        <f>IF(AND(Table1[[#This Row],[Status]] = "Delivered", Table1[[#This Row],[Actual Delivery]] &lt;= Table1[[#This Row],[Promised Delivery]],Table1[[#This Row],[FillRate]]&gt;=0.95),1,0)</f>
        <v>1</v>
      </c>
      <c r="O527" t="str">
        <f>VLOOKUP(B527,Products!$A$2:$D$9,3,FALSE)</f>
        <v>Raw Material</v>
      </c>
    </row>
    <row r="528" spans="1:15" x14ac:dyDescent="0.25">
      <c r="A528" s="14" t="s">
        <v>554</v>
      </c>
      <c r="B528" s="2" t="s">
        <v>33</v>
      </c>
      <c r="C528" s="2" t="s">
        <v>57</v>
      </c>
      <c r="D528" s="2" t="s">
        <v>28</v>
      </c>
      <c r="E528" s="3">
        <v>45619</v>
      </c>
      <c r="F528" s="20">
        <v>45640</v>
      </c>
      <c r="G528" s="20">
        <v>45638</v>
      </c>
      <c r="H528" s="2">
        <v>224</v>
      </c>
      <c r="I528" s="2">
        <v>216</v>
      </c>
      <c r="J528" s="4" t="s">
        <v>14</v>
      </c>
      <c r="K528">
        <f>Table1[[#This Row],[Delivered Qty]]/Table1[[#This Row],[Ordered Qty]]</f>
        <v>0.9642857142857143</v>
      </c>
      <c r="L528">
        <f>VLOOKUP(Table1[[#This Row],[Supplier ID]],Suppliers!$A$2:$D$6,4,FALSE)</f>
        <v>21</v>
      </c>
      <c r="M528">
        <f>Table1[[#This Row],[Actual Delivery]]-Table1[[#This Row],[Order Date]]-Table1[[#This Row],[std Lead time]]</f>
        <v>-2</v>
      </c>
      <c r="N528">
        <f>IF(AND(Table1[[#This Row],[Status]] = "Delivered", Table1[[#This Row],[Actual Delivery]] &lt;= Table1[[#This Row],[Promised Delivery]],Table1[[#This Row],[FillRate]]&gt;=0.95),1,0)</f>
        <v>1</v>
      </c>
      <c r="O528" t="str">
        <f>VLOOKUP(B528,Products!$A$2:$D$9,3,FALSE)</f>
        <v>Raw Material</v>
      </c>
    </row>
    <row r="529" spans="1:15" x14ac:dyDescent="0.25">
      <c r="A529" s="15" t="s">
        <v>555</v>
      </c>
      <c r="B529" s="5" t="s">
        <v>22</v>
      </c>
      <c r="C529" s="5" t="s">
        <v>17</v>
      </c>
      <c r="D529" s="5" t="s">
        <v>28</v>
      </c>
      <c r="E529" s="6">
        <v>45607</v>
      </c>
      <c r="F529" s="21">
        <v>45613</v>
      </c>
      <c r="G529" s="21">
        <v>45612</v>
      </c>
      <c r="H529" s="5">
        <v>583</v>
      </c>
      <c r="I529" s="5">
        <v>556</v>
      </c>
      <c r="J529" s="4" t="s">
        <v>14</v>
      </c>
      <c r="K529">
        <f>Table1[[#This Row],[Delivered Qty]]/Table1[[#This Row],[Ordered Qty]]</f>
        <v>0.95368782161234988</v>
      </c>
      <c r="L529">
        <f>VLOOKUP(Table1[[#This Row],[Supplier ID]],Suppliers!$A$2:$D$6,4,FALSE)</f>
        <v>6</v>
      </c>
      <c r="M529">
        <f>Table1[[#This Row],[Actual Delivery]]-Table1[[#This Row],[Order Date]]-Table1[[#This Row],[std Lead time]]</f>
        <v>-1</v>
      </c>
      <c r="N529">
        <f>IF(AND(Table1[[#This Row],[Status]] = "Delivered", Table1[[#This Row],[Actual Delivery]] &lt;= Table1[[#This Row],[Promised Delivery]],Table1[[#This Row],[FillRate]]&gt;=0.95),1,0)</f>
        <v>1</v>
      </c>
      <c r="O529" t="str">
        <f>VLOOKUP(B529,Products!$A$2:$D$9,3,FALSE)</f>
        <v>Finished Goods</v>
      </c>
    </row>
    <row r="530" spans="1:15" x14ac:dyDescent="0.25">
      <c r="A530" s="14" t="s">
        <v>556</v>
      </c>
      <c r="B530" s="2" t="s">
        <v>20</v>
      </c>
      <c r="C530" s="2" t="s">
        <v>12</v>
      </c>
      <c r="D530" s="2" t="s">
        <v>18</v>
      </c>
      <c r="E530" s="3">
        <v>45616</v>
      </c>
      <c r="F530" s="20">
        <v>45634</v>
      </c>
      <c r="G530" s="20">
        <v>45633</v>
      </c>
      <c r="H530" s="2">
        <v>1068</v>
      </c>
      <c r="I530" s="2">
        <v>983</v>
      </c>
      <c r="J530" s="4" t="s">
        <v>14</v>
      </c>
      <c r="K530">
        <f>Table1[[#This Row],[Delivered Qty]]/Table1[[#This Row],[Ordered Qty]]</f>
        <v>0.92041198501872656</v>
      </c>
      <c r="L530">
        <f>VLOOKUP(Table1[[#This Row],[Supplier ID]],Suppliers!$A$2:$D$6,4,FALSE)</f>
        <v>18</v>
      </c>
      <c r="M530">
        <f>Table1[[#This Row],[Actual Delivery]]-Table1[[#This Row],[Order Date]]-Table1[[#This Row],[std Lead time]]</f>
        <v>-1</v>
      </c>
      <c r="N530">
        <f>IF(AND(Table1[[#This Row],[Status]] = "Delivered", Table1[[#This Row],[Actual Delivery]] &lt;= Table1[[#This Row],[Promised Delivery]],Table1[[#This Row],[FillRate]]&gt;=0.95),1,0)</f>
        <v>0</v>
      </c>
      <c r="O530" t="str">
        <f>VLOOKUP(B530,Products!$A$2:$D$9,3,FALSE)</f>
        <v>Raw Material</v>
      </c>
    </row>
    <row r="531" spans="1:15" x14ac:dyDescent="0.25">
      <c r="A531" s="15" t="s">
        <v>557</v>
      </c>
      <c r="B531" s="5" t="s">
        <v>30</v>
      </c>
      <c r="C531" s="5" t="s">
        <v>12</v>
      </c>
      <c r="D531" s="5" t="s">
        <v>18</v>
      </c>
      <c r="E531" s="6">
        <v>45605</v>
      </c>
      <c r="F531" s="21">
        <v>45623</v>
      </c>
      <c r="G531" s="21">
        <v>45621</v>
      </c>
      <c r="H531" s="5">
        <v>1379</v>
      </c>
      <c r="I531" s="5">
        <v>1335</v>
      </c>
      <c r="J531" s="4" t="s">
        <v>14</v>
      </c>
      <c r="K531">
        <f>Table1[[#This Row],[Delivered Qty]]/Table1[[#This Row],[Ordered Qty]]</f>
        <v>0.96809282088469906</v>
      </c>
      <c r="L531">
        <f>VLOOKUP(Table1[[#This Row],[Supplier ID]],Suppliers!$A$2:$D$6,4,FALSE)</f>
        <v>18</v>
      </c>
      <c r="M531">
        <f>Table1[[#This Row],[Actual Delivery]]-Table1[[#This Row],[Order Date]]-Table1[[#This Row],[std Lead time]]</f>
        <v>-2</v>
      </c>
      <c r="N531">
        <f>IF(AND(Table1[[#This Row],[Status]] = "Delivered", Table1[[#This Row],[Actual Delivery]] &lt;= Table1[[#This Row],[Promised Delivery]],Table1[[#This Row],[FillRate]]&gt;=0.95),1,0)</f>
        <v>1</v>
      </c>
      <c r="O531" t="str">
        <f>VLOOKUP(B531,Products!$A$2:$D$9,3,FALSE)</f>
        <v>Finished Goods</v>
      </c>
    </row>
    <row r="532" spans="1:15" x14ac:dyDescent="0.25">
      <c r="A532" s="14" t="s">
        <v>558</v>
      </c>
      <c r="B532" s="2" t="s">
        <v>16</v>
      </c>
      <c r="C532" s="2" t="s">
        <v>12</v>
      </c>
      <c r="D532" s="2" t="s">
        <v>13</v>
      </c>
      <c r="E532" s="3">
        <v>45614</v>
      </c>
      <c r="F532" s="20">
        <v>45632</v>
      </c>
      <c r="G532" s="20">
        <v>45634</v>
      </c>
      <c r="H532" s="2">
        <v>498</v>
      </c>
      <c r="I532" s="2">
        <v>476</v>
      </c>
      <c r="J532" s="4" t="s">
        <v>14</v>
      </c>
      <c r="K532">
        <f>Table1[[#This Row],[Delivered Qty]]/Table1[[#This Row],[Ordered Qty]]</f>
        <v>0.95582329317269077</v>
      </c>
      <c r="L532">
        <f>VLOOKUP(Table1[[#This Row],[Supplier ID]],Suppliers!$A$2:$D$6,4,FALSE)</f>
        <v>18</v>
      </c>
      <c r="M532">
        <f>Table1[[#This Row],[Actual Delivery]]-Table1[[#This Row],[Order Date]]-Table1[[#This Row],[std Lead time]]</f>
        <v>2</v>
      </c>
      <c r="N532">
        <f>IF(AND(Table1[[#This Row],[Status]] = "Delivered", Table1[[#This Row],[Actual Delivery]] &lt;= Table1[[#This Row],[Promised Delivery]],Table1[[#This Row],[FillRate]]&gt;=0.95),1,0)</f>
        <v>0</v>
      </c>
      <c r="O532" t="str">
        <f>VLOOKUP(B532,Products!$A$2:$D$9,3,FALSE)</f>
        <v>Packaging</v>
      </c>
    </row>
    <row r="533" spans="1:15" x14ac:dyDescent="0.25">
      <c r="A533" s="15" t="s">
        <v>559</v>
      </c>
      <c r="B533" s="5" t="s">
        <v>33</v>
      </c>
      <c r="C533" s="5" t="s">
        <v>57</v>
      </c>
      <c r="D533" s="5" t="s">
        <v>28</v>
      </c>
      <c r="E533" s="6">
        <v>45602</v>
      </c>
      <c r="F533" s="21">
        <v>45623</v>
      </c>
      <c r="G533" s="21">
        <v>45623</v>
      </c>
      <c r="H533" s="5">
        <v>1258</v>
      </c>
      <c r="I533" s="5">
        <v>1199</v>
      </c>
      <c r="J533" s="4" t="s">
        <v>14</v>
      </c>
      <c r="K533">
        <f>Table1[[#This Row],[Delivered Qty]]/Table1[[#This Row],[Ordered Qty]]</f>
        <v>0.95310015898251188</v>
      </c>
      <c r="L533">
        <f>VLOOKUP(Table1[[#This Row],[Supplier ID]],Suppliers!$A$2:$D$6,4,FALSE)</f>
        <v>21</v>
      </c>
      <c r="M533">
        <f>Table1[[#This Row],[Actual Delivery]]-Table1[[#This Row],[Order Date]]-Table1[[#This Row],[std Lead time]]</f>
        <v>0</v>
      </c>
      <c r="N533">
        <f>IF(AND(Table1[[#This Row],[Status]] = "Delivered", Table1[[#This Row],[Actual Delivery]] &lt;= Table1[[#This Row],[Promised Delivery]],Table1[[#This Row],[FillRate]]&gt;=0.95),1,0)</f>
        <v>1</v>
      </c>
      <c r="O533" t="str">
        <f>VLOOKUP(B533,Products!$A$2:$D$9,3,FALSE)</f>
        <v>Raw Material</v>
      </c>
    </row>
    <row r="534" spans="1:15" x14ac:dyDescent="0.25">
      <c r="A534" s="14" t="s">
        <v>560</v>
      </c>
      <c r="B534" s="2" t="s">
        <v>30</v>
      </c>
      <c r="C534" s="2" t="s">
        <v>57</v>
      </c>
      <c r="D534" s="2" t="s">
        <v>23</v>
      </c>
      <c r="E534" s="3">
        <v>45605</v>
      </c>
      <c r="F534" s="20">
        <v>45626</v>
      </c>
      <c r="G534" s="20">
        <v>45626</v>
      </c>
      <c r="H534" s="2">
        <v>534</v>
      </c>
      <c r="I534" s="2">
        <v>483</v>
      </c>
      <c r="J534" s="4" t="s">
        <v>14</v>
      </c>
      <c r="K534">
        <f>Table1[[#This Row],[Delivered Qty]]/Table1[[#This Row],[Ordered Qty]]</f>
        <v>0.9044943820224719</v>
      </c>
      <c r="L534">
        <f>VLOOKUP(Table1[[#This Row],[Supplier ID]],Suppliers!$A$2:$D$6,4,FALSE)</f>
        <v>21</v>
      </c>
      <c r="M534">
        <f>Table1[[#This Row],[Actual Delivery]]-Table1[[#This Row],[Order Date]]-Table1[[#This Row],[std Lead time]]</f>
        <v>0</v>
      </c>
      <c r="N534">
        <f>IF(AND(Table1[[#This Row],[Status]] = "Delivered", Table1[[#This Row],[Actual Delivery]] &lt;= Table1[[#This Row],[Promised Delivery]],Table1[[#This Row],[FillRate]]&gt;=0.95),1,0)</f>
        <v>0</v>
      </c>
      <c r="O534" t="str">
        <f>VLOOKUP(B534,Products!$A$2:$D$9,3,FALSE)</f>
        <v>Finished Goods</v>
      </c>
    </row>
    <row r="535" spans="1:15" x14ac:dyDescent="0.25">
      <c r="A535" s="15" t="s">
        <v>561</v>
      </c>
      <c r="B535" s="5" t="s">
        <v>37</v>
      </c>
      <c r="C535" s="5" t="s">
        <v>57</v>
      </c>
      <c r="D535" s="5" t="s">
        <v>28</v>
      </c>
      <c r="E535" s="6">
        <v>45611</v>
      </c>
      <c r="F535" s="21">
        <v>45632</v>
      </c>
      <c r="G535" s="21">
        <v>45631</v>
      </c>
      <c r="H535" s="5">
        <v>1347</v>
      </c>
      <c r="I535" s="5">
        <v>1287</v>
      </c>
      <c r="J535" s="4" t="s">
        <v>14</v>
      </c>
      <c r="K535">
        <f>Table1[[#This Row],[Delivered Qty]]/Table1[[#This Row],[Ordered Qty]]</f>
        <v>0.95545657015590202</v>
      </c>
      <c r="L535">
        <f>VLOOKUP(Table1[[#This Row],[Supplier ID]],Suppliers!$A$2:$D$6,4,FALSE)</f>
        <v>21</v>
      </c>
      <c r="M535">
        <f>Table1[[#This Row],[Actual Delivery]]-Table1[[#This Row],[Order Date]]-Table1[[#This Row],[std Lead time]]</f>
        <v>-1</v>
      </c>
      <c r="N535">
        <f>IF(AND(Table1[[#This Row],[Status]] = "Delivered", Table1[[#This Row],[Actual Delivery]] &lt;= Table1[[#This Row],[Promised Delivery]],Table1[[#This Row],[FillRate]]&gt;=0.95),1,0)</f>
        <v>1</v>
      </c>
      <c r="O535" t="str">
        <f>VLOOKUP(B535,Products!$A$2:$D$9,3,FALSE)</f>
        <v>Raw Material</v>
      </c>
    </row>
    <row r="536" spans="1:15" x14ac:dyDescent="0.25">
      <c r="A536" s="14" t="s">
        <v>562</v>
      </c>
      <c r="B536" s="2" t="s">
        <v>37</v>
      </c>
      <c r="C536" s="2" t="s">
        <v>12</v>
      </c>
      <c r="D536" s="2" t="s">
        <v>28</v>
      </c>
      <c r="E536" s="3">
        <v>45610</v>
      </c>
      <c r="F536" s="20">
        <v>45628</v>
      </c>
      <c r="G536" s="20">
        <v>45628</v>
      </c>
      <c r="H536" s="2">
        <v>1440</v>
      </c>
      <c r="I536" s="2">
        <v>1324</v>
      </c>
      <c r="J536" s="4" t="s">
        <v>14</v>
      </c>
      <c r="K536">
        <f>Table1[[#This Row],[Delivered Qty]]/Table1[[#This Row],[Ordered Qty]]</f>
        <v>0.9194444444444444</v>
      </c>
      <c r="L536">
        <f>VLOOKUP(Table1[[#This Row],[Supplier ID]],Suppliers!$A$2:$D$6,4,FALSE)</f>
        <v>18</v>
      </c>
      <c r="M536">
        <f>Table1[[#This Row],[Actual Delivery]]-Table1[[#This Row],[Order Date]]-Table1[[#This Row],[std Lead time]]</f>
        <v>0</v>
      </c>
      <c r="N536">
        <f>IF(AND(Table1[[#This Row],[Status]] = "Delivered", Table1[[#This Row],[Actual Delivery]] &lt;= Table1[[#This Row],[Promised Delivery]],Table1[[#This Row],[FillRate]]&gt;=0.95),1,0)</f>
        <v>0</v>
      </c>
      <c r="O536" t="str">
        <f>VLOOKUP(B536,Products!$A$2:$D$9,3,FALSE)</f>
        <v>Raw Material</v>
      </c>
    </row>
    <row r="537" spans="1:15" x14ac:dyDescent="0.25">
      <c r="A537" s="15" t="s">
        <v>563</v>
      </c>
      <c r="B537" s="5" t="s">
        <v>37</v>
      </c>
      <c r="C537" s="5" t="s">
        <v>12</v>
      </c>
      <c r="D537" s="5" t="s">
        <v>23</v>
      </c>
      <c r="E537" s="6">
        <v>45648</v>
      </c>
      <c r="F537" s="21">
        <v>45666</v>
      </c>
      <c r="G537" s="21">
        <v>45670</v>
      </c>
      <c r="H537" s="5">
        <v>360</v>
      </c>
      <c r="I537" s="5">
        <v>337</v>
      </c>
      <c r="J537" s="7" t="s">
        <v>564</v>
      </c>
      <c r="K537">
        <f>Table1[[#This Row],[Delivered Qty]]/Table1[[#This Row],[Ordered Qty]]</f>
        <v>0.93611111111111112</v>
      </c>
      <c r="L537">
        <f>VLOOKUP(Table1[[#This Row],[Supplier ID]],Suppliers!$A$2:$D$6,4,FALSE)</f>
        <v>18</v>
      </c>
      <c r="M537">
        <f>Table1[[#This Row],[Actual Delivery]]-Table1[[#This Row],[Order Date]]-Table1[[#This Row],[std Lead time]]</f>
        <v>4</v>
      </c>
      <c r="N537">
        <f>IF(AND(Table1[[#This Row],[Status]] = "Delivered", Table1[[#This Row],[Actual Delivery]] &lt;= Table1[[#This Row],[Promised Delivery]],Table1[[#This Row],[FillRate]]&gt;=0.95),1,0)</f>
        <v>0</v>
      </c>
      <c r="O537" t="str">
        <f>VLOOKUP(B537,Products!$A$2:$D$9,3,FALSE)</f>
        <v>Raw Material</v>
      </c>
    </row>
    <row r="538" spans="1:15" x14ac:dyDescent="0.25">
      <c r="A538" s="14" t="s">
        <v>565</v>
      </c>
      <c r="B538" s="2" t="s">
        <v>37</v>
      </c>
      <c r="C538" s="2" t="s">
        <v>57</v>
      </c>
      <c r="D538" s="2" t="s">
        <v>13</v>
      </c>
      <c r="E538" s="3">
        <v>45654</v>
      </c>
      <c r="F538" s="20">
        <v>45675</v>
      </c>
      <c r="G538" s="20">
        <v>45674</v>
      </c>
      <c r="H538" s="2">
        <v>1063</v>
      </c>
      <c r="I538" s="2">
        <v>1023</v>
      </c>
      <c r="J538" s="7" t="s">
        <v>564</v>
      </c>
      <c r="K538">
        <f>Table1[[#This Row],[Delivered Qty]]/Table1[[#This Row],[Ordered Qty]]</f>
        <v>0.96237064910630288</v>
      </c>
      <c r="L538">
        <f>VLOOKUP(Table1[[#This Row],[Supplier ID]],Suppliers!$A$2:$D$6,4,FALSE)</f>
        <v>21</v>
      </c>
      <c r="M538">
        <f>Table1[[#This Row],[Actual Delivery]]-Table1[[#This Row],[Order Date]]-Table1[[#This Row],[std Lead time]]</f>
        <v>-1</v>
      </c>
      <c r="N538">
        <f>IF(AND(Table1[[#This Row],[Status]] = "Delivered", Table1[[#This Row],[Actual Delivery]] &lt;= Table1[[#This Row],[Promised Delivery]],Table1[[#This Row],[FillRate]]&gt;=0.95),1,0)</f>
        <v>0</v>
      </c>
      <c r="O538" t="str">
        <f>VLOOKUP(B538,Products!$A$2:$D$9,3,FALSE)</f>
        <v>Raw Material</v>
      </c>
    </row>
    <row r="539" spans="1:15" x14ac:dyDescent="0.25">
      <c r="A539" s="15" t="s">
        <v>566</v>
      </c>
      <c r="B539" s="5" t="s">
        <v>22</v>
      </c>
      <c r="C539" s="5" t="s">
        <v>26</v>
      </c>
      <c r="D539" s="5" t="s">
        <v>28</v>
      </c>
      <c r="E539" s="6">
        <v>45632</v>
      </c>
      <c r="F539" s="21">
        <v>45639</v>
      </c>
      <c r="G539" s="21">
        <v>45638</v>
      </c>
      <c r="H539" s="5">
        <v>1537</v>
      </c>
      <c r="I539" s="5">
        <v>1428</v>
      </c>
      <c r="J539" s="4" t="s">
        <v>14</v>
      </c>
      <c r="K539">
        <f>Table1[[#This Row],[Delivered Qty]]/Table1[[#This Row],[Ordered Qty]]</f>
        <v>0.92908262849707224</v>
      </c>
      <c r="L539">
        <f>VLOOKUP(Table1[[#This Row],[Supplier ID]],Suppliers!$A$2:$D$6,4,FALSE)</f>
        <v>7</v>
      </c>
      <c r="M539">
        <f>Table1[[#This Row],[Actual Delivery]]-Table1[[#This Row],[Order Date]]-Table1[[#This Row],[std Lead time]]</f>
        <v>-1</v>
      </c>
      <c r="N539">
        <f>IF(AND(Table1[[#This Row],[Status]] = "Delivered", Table1[[#This Row],[Actual Delivery]] &lt;= Table1[[#This Row],[Promised Delivery]],Table1[[#This Row],[FillRate]]&gt;=0.95),1,0)</f>
        <v>0</v>
      </c>
      <c r="O539" t="str">
        <f>VLOOKUP(B539,Products!$A$2:$D$9,3,FALSE)</f>
        <v>Finished Goods</v>
      </c>
    </row>
    <row r="540" spans="1:15" x14ac:dyDescent="0.25">
      <c r="A540" s="14" t="s">
        <v>567</v>
      </c>
      <c r="B540" s="2" t="s">
        <v>37</v>
      </c>
      <c r="C540" s="2" t="s">
        <v>17</v>
      </c>
      <c r="D540" s="2" t="s">
        <v>18</v>
      </c>
      <c r="E540" s="3">
        <v>45635</v>
      </c>
      <c r="F540" s="20">
        <v>45641</v>
      </c>
      <c r="G540" s="20">
        <v>45644</v>
      </c>
      <c r="H540" s="2">
        <v>1731</v>
      </c>
      <c r="I540" s="2">
        <v>1659</v>
      </c>
      <c r="J540" s="4" t="s">
        <v>14</v>
      </c>
      <c r="K540">
        <f>Table1[[#This Row],[Delivered Qty]]/Table1[[#This Row],[Ordered Qty]]</f>
        <v>0.95840554592720972</v>
      </c>
      <c r="L540">
        <f>VLOOKUP(Table1[[#This Row],[Supplier ID]],Suppliers!$A$2:$D$6,4,FALSE)</f>
        <v>6</v>
      </c>
      <c r="M540">
        <f>Table1[[#This Row],[Actual Delivery]]-Table1[[#This Row],[Order Date]]-Table1[[#This Row],[std Lead time]]</f>
        <v>3</v>
      </c>
      <c r="N540">
        <f>IF(AND(Table1[[#This Row],[Status]] = "Delivered", Table1[[#This Row],[Actual Delivery]] &lt;= Table1[[#This Row],[Promised Delivery]],Table1[[#This Row],[FillRate]]&gt;=0.95),1,0)</f>
        <v>0</v>
      </c>
      <c r="O540" t="str">
        <f>VLOOKUP(B540,Products!$A$2:$D$9,3,FALSE)</f>
        <v>Raw Material</v>
      </c>
    </row>
    <row r="541" spans="1:15" x14ac:dyDescent="0.25">
      <c r="A541" s="15" t="s">
        <v>568</v>
      </c>
      <c r="B541" s="5" t="s">
        <v>44</v>
      </c>
      <c r="C541" s="5" t="s">
        <v>57</v>
      </c>
      <c r="D541" s="5" t="s">
        <v>13</v>
      </c>
      <c r="E541" s="6">
        <v>45632</v>
      </c>
      <c r="F541" s="21">
        <v>45653</v>
      </c>
      <c r="G541" s="21">
        <v>45651</v>
      </c>
      <c r="H541" s="5">
        <v>1555</v>
      </c>
      <c r="I541" s="5">
        <v>1438</v>
      </c>
      <c r="J541" s="4" t="s">
        <v>14</v>
      </c>
      <c r="K541">
        <f>Table1[[#This Row],[Delivered Qty]]/Table1[[#This Row],[Ordered Qty]]</f>
        <v>0.92475884244372986</v>
      </c>
      <c r="L541">
        <f>VLOOKUP(Table1[[#This Row],[Supplier ID]],Suppliers!$A$2:$D$6,4,FALSE)</f>
        <v>21</v>
      </c>
      <c r="M541">
        <f>Table1[[#This Row],[Actual Delivery]]-Table1[[#This Row],[Order Date]]-Table1[[#This Row],[std Lead time]]</f>
        <v>-2</v>
      </c>
      <c r="N541">
        <f>IF(AND(Table1[[#This Row],[Status]] = "Delivered", Table1[[#This Row],[Actual Delivery]] &lt;= Table1[[#This Row],[Promised Delivery]],Table1[[#This Row],[FillRate]]&gt;=0.95),1,0)</f>
        <v>0</v>
      </c>
      <c r="O541" t="str">
        <f>VLOOKUP(B541,Products!$A$2:$D$9,3,FALSE)</f>
        <v>Finished Goods</v>
      </c>
    </row>
    <row r="542" spans="1:15" x14ac:dyDescent="0.25">
      <c r="A542" s="14" t="s">
        <v>569</v>
      </c>
      <c r="B542" s="2" t="s">
        <v>16</v>
      </c>
      <c r="C542" s="2" t="s">
        <v>31</v>
      </c>
      <c r="D542" s="2" t="s">
        <v>13</v>
      </c>
      <c r="E542" s="3">
        <v>45639</v>
      </c>
      <c r="F542" s="20">
        <v>45644</v>
      </c>
      <c r="G542" s="20">
        <v>45643</v>
      </c>
      <c r="H542" s="2">
        <v>1323</v>
      </c>
      <c r="I542" s="2">
        <v>1047</v>
      </c>
      <c r="J542" s="4" t="s">
        <v>14</v>
      </c>
      <c r="K542">
        <f>Table1[[#This Row],[Delivered Qty]]/Table1[[#This Row],[Ordered Qty]]</f>
        <v>0.79138321995464855</v>
      </c>
      <c r="L542">
        <f>VLOOKUP(Table1[[#This Row],[Supplier ID]],Suppliers!$A$2:$D$6,4,FALSE)</f>
        <v>5</v>
      </c>
      <c r="M542">
        <f>Table1[[#This Row],[Actual Delivery]]-Table1[[#This Row],[Order Date]]-Table1[[#This Row],[std Lead time]]</f>
        <v>-1</v>
      </c>
      <c r="N542">
        <f>IF(AND(Table1[[#This Row],[Status]] = "Delivered", Table1[[#This Row],[Actual Delivery]] &lt;= Table1[[#This Row],[Promised Delivery]],Table1[[#This Row],[FillRate]]&gt;=0.95),1,0)</f>
        <v>0</v>
      </c>
      <c r="O542" t="str">
        <f>VLOOKUP(B542,Products!$A$2:$D$9,3,FALSE)</f>
        <v>Packaging</v>
      </c>
    </row>
    <row r="543" spans="1:15" x14ac:dyDescent="0.25">
      <c r="A543" s="15" t="s">
        <v>570</v>
      </c>
      <c r="B543" s="5" t="s">
        <v>22</v>
      </c>
      <c r="C543" s="5" t="s">
        <v>17</v>
      </c>
      <c r="D543" s="5" t="s">
        <v>28</v>
      </c>
      <c r="E543" s="6">
        <v>45630</v>
      </c>
      <c r="F543" s="21">
        <v>45636</v>
      </c>
      <c r="G543" s="21">
        <v>45634</v>
      </c>
      <c r="H543" s="5">
        <v>1541</v>
      </c>
      <c r="I543" s="5">
        <v>1530</v>
      </c>
      <c r="J543" s="4" t="s">
        <v>14</v>
      </c>
      <c r="K543">
        <f>Table1[[#This Row],[Delivered Qty]]/Table1[[#This Row],[Ordered Qty]]</f>
        <v>0.9928617780661908</v>
      </c>
      <c r="L543">
        <f>VLOOKUP(Table1[[#This Row],[Supplier ID]],Suppliers!$A$2:$D$6,4,FALSE)</f>
        <v>6</v>
      </c>
      <c r="M543">
        <f>Table1[[#This Row],[Actual Delivery]]-Table1[[#This Row],[Order Date]]-Table1[[#This Row],[std Lead time]]</f>
        <v>-2</v>
      </c>
      <c r="N543">
        <f>IF(AND(Table1[[#This Row],[Status]] = "Delivered", Table1[[#This Row],[Actual Delivery]] &lt;= Table1[[#This Row],[Promised Delivery]],Table1[[#This Row],[FillRate]]&gt;=0.95),1,0)</f>
        <v>1</v>
      </c>
      <c r="O543" t="str">
        <f>VLOOKUP(B543,Products!$A$2:$D$9,3,FALSE)</f>
        <v>Finished Goods</v>
      </c>
    </row>
    <row r="544" spans="1:15" x14ac:dyDescent="0.25">
      <c r="A544" s="14" t="s">
        <v>571</v>
      </c>
      <c r="B544" s="2" t="s">
        <v>22</v>
      </c>
      <c r="C544" s="2" t="s">
        <v>12</v>
      </c>
      <c r="D544" s="2" t="s">
        <v>13</v>
      </c>
      <c r="E544" s="3">
        <v>45634</v>
      </c>
      <c r="F544" s="20">
        <v>45652</v>
      </c>
      <c r="G544" s="20">
        <v>45650</v>
      </c>
      <c r="H544" s="2">
        <v>468</v>
      </c>
      <c r="I544" s="2">
        <v>445</v>
      </c>
      <c r="J544" s="4" t="s">
        <v>14</v>
      </c>
      <c r="K544">
        <f>Table1[[#This Row],[Delivered Qty]]/Table1[[#This Row],[Ordered Qty]]</f>
        <v>0.95085470085470081</v>
      </c>
      <c r="L544">
        <f>VLOOKUP(Table1[[#This Row],[Supplier ID]],Suppliers!$A$2:$D$6,4,FALSE)</f>
        <v>18</v>
      </c>
      <c r="M544">
        <f>Table1[[#This Row],[Actual Delivery]]-Table1[[#This Row],[Order Date]]-Table1[[#This Row],[std Lead time]]</f>
        <v>-2</v>
      </c>
      <c r="N544">
        <f>IF(AND(Table1[[#This Row],[Status]] = "Delivered", Table1[[#This Row],[Actual Delivery]] &lt;= Table1[[#This Row],[Promised Delivery]],Table1[[#This Row],[FillRate]]&gt;=0.95),1,0)</f>
        <v>1</v>
      </c>
      <c r="O544" t="str">
        <f>VLOOKUP(B544,Products!$A$2:$D$9,3,FALSE)</f>
        <v>Finished Goods</v>
      </c>
    </row>
    <row r="545" spans="1:15" x14ac:dyDescent="0.25">
      <c r="A545" s="15" t="s">
        <v>572</v>
      </c>
      <c r="B545" s="5" t="s">
        <v>33</v>
      </c>
      <c r="C545" s="5" t="s">
        <v>26</v>
      </c>
      <c r="D545" s="5" t="s">
        <v>28</v>
      </c>
      <c r="E545" s="6">
        <v>45648</v>
      </c>
      <c r="F545" s="21">
        <v>45655</v>
      </c>
      <c r="G545" s="21">
        <v>45658</v>
      </c>
      <c r="H545" s="5">
        <v>1969</v>
      </c>
      <c r="I545" s="5">
        <v>1865</v>
      </c>
      <c r="J545" s="7" t="s">
        <v>564</v>
      </c>
      <c r="K545">
        <f>Table1[[#This Row],[Delivered Qty]]/Table1[[#This Row],[Ordered Qty]]</f>
        <v>0.9471813103098019</v>
      </c>
      <c r="L545">
        <f>VLOOKUP(Table1[[#This Row],[Supplier ID]],Suppliers!$A$2:$D$6,4,FALSE)</f>
        <v>7</v>
      </c>
      <c r="M545">
        <f>Table1[[#This Row],[Actual Delivery]]-Table1[[#This Row],[Order Date]]-Table1[[#This Row],[std Lead time]]</f>
        <v>3</v>
      </c>
      <c r="N545">
        <f>IF(AND(Table1[[#This Row],[Status]] = "Delivered", Table1[[#This Row],[Actual Delivery]] &lt;= Table1[[#This Row],[Promised Delivery]],Table1[[#This Row],[FillRate]]&gt;=0.95),1,0)</f>
        <v>0</v>
      </c>
      <c r="O545" t="str">
        <f>VLOOKUP(B545,Products!$A$2:$D$9,3,FALSE)</f>
        <v>Raw Material</v>
      </c>
    </row>
    <row r="546" spans="1:15" x14ac:dyDescent="0.25">
      <c r="A546" s="14" t="s">
        <v>573</v>
      </c>
      <c r="B546" s="2" t="s">
        <v>37</v>
      </c>
      <c r="C546" s="2" t="s">
        <v>17</v>
      </c>
      <c r="D546" s="2" t="s">
        <v>18</v>
      </c>
      <c r="E546" s="3">
        <v>45631</v>
      </c>
      <c r="F546" s="20">
        <v>45637</v>
      </c>
      <c r="G546" s="20">
        <v>45636</v>
      </c>
      <c r="H546" s="2">
        <v>1492</v>
      </c>
      <c r="I546" s="2">
        <v>1454</v>
      </c>
      <c r="J546" s="4" t="s">
        <v>14</v>
      </c>
      <c r="K546">
        <f>Table1[[#This Row],[Delivered Qty]]/Table1[[#This Row],[Ordered Qty]]</f>
        <v>0.97453083109919569</v>
      </c>
      <c r="L546">
        <f>VLOOKUP(Table1[[#This Row],[Supplier ID]],Suppliers!$A$2:$D$6,4,FALSE)</f>
        <v>6</v>
      </c>
      <c r="M546">
        <f>Table1[[#This Row],[Actual Delivery]]-Table1[[#This Row],[Order Date]]-Table1[[#This Row],[std Lead time]]</f>
        <v>-1</v>
      </c>
      <c r="N546">
        <f>IF(AND(Table1[[#This Row],[Status]] = "Delivered", Table1[[#This Row],[Actual Delivery]] &lt;= Table1[[#This Row],[Promised Delivery]],Table1[[#This Row],[FillRate]]&gt;=0.95),1,0)</f>
        <v>1</v>
      </c>
      <c r="O546" t="str">
        <f>VLOOKUP(B546,Products!$A$2:$D$9,3,FALSE)</f>
        <v>Raw Material</v>
      </c>
    </row>
    <row r="547" spans="1:15" x14ac:dyDescent="0.25">
      <c r="A547" s="15" t="s">
        <v>574</v>
      </c>
      <c r="B547" s="5" t="s">
        <v>22</v>
      </c>
      <c r="C547" s="5" t="s">
        <v>17</v>
      </c>
      <c r="D547" s="5" t="s">
        <v>23</v>
      </c>
      <c r="E547" s="6">
        <v>45638</v>
      </c>
      <c r="F547" s="21">
        <v>45644</v>
      </c>
      <c r="G547" s="21">
        <v>45642</v>
      </c>
      <c r="H547" s="5">
        <v>1104</v>
      </c>
      <c r="I547" s="5">
        <v>1027</v>
      </c>
      <c r="J547" s="4" t="s">
        <v>14</v>
      </c>
      <c r="K547">
        <f>Table1[[#This Row],[Delivered Qty]]/Table1[[#This Row],[Ordered Qty]]</f>
        <v>0.93025362318840576</v>
      </c>
      <c r="L547">
        <f>VLOOKUP(Table1[[#This Row],[Supplier ID]],Suppliers!$A$2:$D$6,4,FALSE)</f>
        <v>6</v>
      </c>
      <c r="M547">
        <f>Table1[[#This Row],[Actual Delivery]]-Table1[[#This Row],[Order Date]]-Table1[[#This Row],[std Lead time]]</f>
        <v>-2</v>
      </c>
      <c r="N547">
        <f>IF(AND(Table1[[#This Row],[Status]] = "Delivered", Table1[[#This Row],[Actual Delivery]] &lt;= Table1[[#This Row],[Promised Delivery]],Table1[[#This Row],[FillRate]]&gt;=0.95),1,0)</f>
        <v>0</v>
      </c>
      <c r="O547" t="str">
        <f>VLOOKUP(B547,Products!$A$2:$D$9,3,FALSE)</f>
        <v>Finished Goods</v>
      </c>
    </row>
    <row r="548" spans="1:15" x14ac:dyDescent="0.25">
      <c r="A548" s="14" t="s">
        <v>575</v>
      </c>
      <c r="B548" s="2" t="s">
        <v>22</v>
      </c>
      <c r="C548" s="2" t="s">
        <v>12</v>
      </c>
      <c r="D548" s="2" t="s">
        <v>13</v>
      </c>
      <c r="E548" s="3">
        <v>45636</v>
      </c>
      <c r="F548" s="20">
        <v>45654</v>
      </c>
      <c r="G548" s="20">
        <v>45652</v>
      </c>
      <c r="H548" s="2">
        <v>904</v>
      </c>
      <c r="I548" s="2">
        <v>839</v>
      </c>
      <c r="J548" s="4" t="s">
        <v>14</v>
      </c>
      <c r="K548">
        <f>Table1[[#This Row],[Delivered Qty]]/Table1[[#This Row],[Ordered Qty]]</f>
        <v>0.92809734513274333</v>
      </c>
      <c r="L548">
        <f>VLOOKUP(Table1[[#This Row],[Supplier ID]],Suppliers!$A$2:$D$6,4,FALSE)</f>
        <v>18</v>
      </c>
      <c r="M548">
        <f>Table1[[#This Row],[Actual Delivery]]-Table1[[#This Row],[Order Date]]-Table1[[#This Row],[std Lead time]]</f>
        <v>-2</v>
      </c>
      <c r="N548">
        <f>IF(AND(Table1[[#This Row],[Status]] = "Delivered", Table1[[#This Row],[Actual Delivery]] &lt;= Table1[[#This Row],[Promised Delivery]],Table1[[#This Row],[FillRate]]&gt;=0.95),1,0)</f>
        <v>0</v>
      </c>
      <c r="O548" t="str">
        <f>VLOOKUP(B548,Products!$A$2:$D$9,3,FALSE)</f>
        <v>Finished Goods</v>
      </c>
    </row>
    <row r="549" spans="1:15" x14ac:dyDescent="0.25">
      <c r="A549" s="15" t="s">
        <v>576</v>
      </c>
      <c r="B549" s="5" t="s">
        <v>11</v>
      </c>
      <c r="C549" s="5" t="s">
        <v>57</v>
      </c>
      <c r="D549" s="5" t="s">
        <v>18</v>
      </c>
      <c r="E549" s="6">
        <v>45636</v>
      </c>
      <c r="F549" s="21">
        <v>45657</v>
      </c>
      <c r="G549" s="21">
        <v>45660</v>
      </c>
      <c r="H549" s="5">
        <v>1422</v>
      </c>
      <c r="I549" s="5">
        <v>1181</v>
      </c>
      <c r="J549" s="8" t="s">
        <v>577</v>
      </c>
      <c r="K549">
        <f>Table1[[#This Row],[Delivered Qty]]/Table1[[#This Row],[Ordered Qty]]</f>
        <v>0.83052039381153309</v>
      </c>
      <c r="L549">
        <f>VLOOKUP(Table1[[#This Row],[Supplier ID]],Suppliers!$A$2:$D$6,4,FALSE)</f>
        <v>21</v>
      </c>
      <c r="M549">
        <f>Table1[[#This Row],[Actual Delivery]]-Table1[[#This Row],[Order Date]]-Table1[[#This Row],[std Lead time]]</f>
        <v>3</v>
      </c>
      <c r="N549">
        <f>IF(AND(Table1[[#This Row],[Status]] = "Delivered", Table1[[#This Row],[Actual Delivery]] &lt;= Table1[[#This Row],[Promised Delivery]],Table1[[#This Row],[FillRate]]&gt;=0.95),1,0)</f>
        <v>0</v>
      </c>
      <c r="O549" t="str">
        <f>VLOOKUP(B549,Products!$A$2:$D$9,3,FALSE)</f>
        <v>Packaging</v>
      </c>
    </row>
    <row r="550" spans="1:15" x14ac:dyDescent="0.25">
      <c r="A550" s="14" t="s">
        <v>578</v>
      </c>
      <c r="B550" s="2" t="s">
        <v>11</v>
      </c>
      <c r="C550" s="2" t="s">
        <v>17</v>
      </c>
      <c r="D550" s="2" t="s">
        <v>23</v>
      </c>
      <c r="E550" s="3">
        <v>45633</v>
      </c>
      <c r="F550" s="20">
        <v>45639</v>
      </c>
      <c r="G550" s="20">
        <v>45643</v>
      </c>
      <c r="H550" s="2">
        <v>1008</v>
      </c>
      <c r="I550" s="2">
        <v>841</v>
      </c>
      <c r="J550" s="4" t="s">
        <v>14</v>
      </c>
      <c r="K550">
        <f>Table1[[#This Row],[Delivered Qty]]/Table1[[#This Row],[Ordered Qty]]</f>
        <v>0.83432539682539686</v>
      </c>
      <c r="L550">
        <f>VLOOKUP(Table1[[#This Row],[Supplier ID]],Suppliers!$A$2:$D$6,4,FALSE)</f>
        <v>6</v>
      </c>
      <c r="M550">
        <f>Table1[[#This Row],[Actual Delivery]]-Table1[[#This Row],[Order Date]]-Table1[[#This Row],[std Lead time]]</f>
        <v>4</v>
      </c>
      <c r="N550">
        <f>IF(AND(Table1[[#This Row],[Status]] = "Delivered", Table1[[#This Row],[Actual Delivery]] &lt;= Table1[[#This Row],[Promised Delivery]],Table1[[#This Row],[FillRate]]&gt;=0.95),1,0)</f>
        <v>0</v>
      </c>
      <c r="O550" t="str">
        <f>VLOOKUP(B550,Products!$A$2:$D$9,3,FALSE)</f>
        <v>Packaging</v>
      </c>
    </row>
    <row r="551" spans="1:15" x14ac:dyDescent="0.25">
      <c r="A551" s="15" t="s">
        <v>579</v>
      </c>
      <c r="B551" s="5" t="s">
        <v>22</v>
      </c>
      <c r="C551" s="5" t="s">
        <v>57</v>
      </c>
      <c r="D551" s="5" t="s">
        <v>13</v>
      </c>
      <c r="E551" s="6">
        <v>45635</v>
      </c>
      <c r="F551" s="21">
        <v>45656</v>
      </c>
      <c r="G551" s="21">
        <v>45654</v>
      </c>
      <c r="H551" s="5">
        <v>1258</v>
      </c>
      <c r="I551" s="5">
        <v>1228</v>
      </c>
      <c r="J551" s="4" t="s">
        <v>14</v>
      </c>
      <c r="K551">
        <f>Table1[[#This Row],[Delivered Qty]]/Table1[[#This Row],[Ordered Qty]]</f>
        <v>0.97615262321144669</v>
      </c>
      <c r="L551">
        <f>VLOOKUP(Table1[[#This Row],[Supplier ID]],Suppliers!$A$2:$D$6,4,FALSE)</f>
        <v>21</v>
      </c>
      <c r="M551">
        <f>Table1[[#This Row],[Actual Delivery]]-Table1[[#This Row],[Order Date]]-Table1[[#This Row],[std Lead time]]</f>
        <v>-2</v>
      </c>
      <c r="N551">
        <f>IF(AND(Table1[[#This Row],[Status]] = "Delivered", Table1[[#This Row],[Actual Delivery]] &lt;= Table1[[#This Row],[Promised Delivery]],Table1[[#This Row],[FillRate]]&gt;=0.95),1,0)</f>
        <v>1</v>
      </c>
      <c r="O551" t="str">
        <f>VLOOKUP(B551,Products!$A$2:$D$9,3,FALSE)</f>
        <v>Finished Goods</v>
      </c>
    </row>
    <row r="552" spans="1:15" x14ac:dyDescent="0.25">
      <c r="A552" s="14" t="s">
        <v>580</v>
      </c>
      <c r="B552" s="2" t="s">
        <v>37</v>
      </c>
      <c r="C552" s="2" t="s">
        <v>12</v>
      </c>
      <c r="D552" s="2" t="s">
        <v>23</v>
      </c>
      <c r="E552" s="3">
        <v>45640</v>
      </c>
      <c r="F552" s="20">
        <v>45658</v>
      </c>
      <c r="G552" s="20">
        <v>45660</v>
      </c>
      <c r="H552" s="2">
        <v>479</v>
      </c>
      <c r="I552" s="2">
        <v>444</v>
      </c>
      <c r="J552" s="8" t="s">
        <v>577</v>
      </c>
      <c r="K552">
        <f>Table1[[#This Row],[Delivered Qty]]/Table1[[#This Row],[Ordered Qty]]</f>
        <v>0.92693110647181631</v>
      </c>
      <c r="L552">
        <f>VLOOKUP(Table1[[#This Row],[Supplier ID]],Suppliers!$A$2:$D$6,4,FALSE)</f>
        <v>18</v>
      </c>
      <c r="M552">
        <f>Table1[[#This Row],[Actual Delivery]]-Table1[[#This Row],[Order Date]]-Table1[[#This Row],[std Lead time]]</f>
        <v>2</v>
      </c>
      <c r="N552">
        <f>IF(AND(Table1[[#This Row],[Status]] = "Delivered", Table1[[#This Row],[Actual Delivery]] &lt;= Table1[[#This Row],[Promised Delivery]],Table1[[#This Row],[FillRate]]&gt;=0.95),1,0)</f>
        <v>0</v>
      </c>
      <c r="O552" t="str">
        <f>VLOOKUP(B552,Products!$A$2:$D$9,3,FALSE)</f>
        <v>Raw Material</v>
      </c>
    </row>
    <row r="553" spans="1:15" x14ac:dyDescent="0.25">
      <c r="A553" s="15" t="s">
        <v>581</v>
      </c>
      <c r="B553" s="5" t="s">
        <v>44</v>
      </c>
      <c r="C553" s="5" t="s">
        <v>17</v>
      </c>
      <c r="D553" s="5" t="s">
        <v>18</v>
      </c>
      <c r="E553" s="6">
        <v>45635</v>
      </c>
      <c r="F553" s="21">
        <v>45641</v>
      </c>
      <c r="G553" s="21">
        <v>45639</v>
      </c>
      <c r="H553" s="5">
        <v>511</v>
      </c>
      <c r="I553" s="5">
        <v>462</v>
      </c>
      <c r="J553" s="4" t="s">
        <v>14</v>
      </c>
      <c r="K553">
        <f>Table1[[#This Row],[Delivered Qty]]/Table1[[#This Row],[Ordered Qty]]</f>
        <v>0.90410958904109584</v>
      </c>
      <c r="L553">
        <f>VLOOKUP(Table1[[#This Row],[Supplier ID]],Suppliers!$A$2:$D$6,4,FALSE)</f>
        <v>6</v>
      </c>
      <c r="M553">
        <f>Table1[[#This Row],[Actual Delivery]]-Table1[[#This Row],[Order Date]]-Table1[[#This Row],[std Lead time]]</f>
        <v>-2</v>
      </c>
      <c r="N553">
        <f>IF(AND(Table1[[#This Row],[Status]] = "Delivered", Table1[[#This Row],[Actual Delivery]] &lt;= Table1[[#This Row],[Promised Delivery]],Table1[[#This Row],[FillRate]]&gt;=0.95),1,0)</f>
        <v>0</v>
      </c>
      <c r="O553" t="str">
        <f>VLOOKUP(B553,Products!$A$2:$D$9,3,FALSE)</f>
        <v>Finished Goods</v>
      </c>
    </row>
    <row r="554" spans="1:15" x14ac:dyDescent="0.25">
      <c r="A554" s="14" t="s">
        <v>582</v>
      </c>
      <c r="B554" s="2" t="s">
        <v>11</v>
      </c>
      <c r="C554" s="2" t="s">
        <v>31</v>
      </c>
      <c r="D554" s="2" t="s">
        <v>28</v>
      </c>
      <c r="E554" s="3">
        <v>45636</v>
      </c>
      <c r="F554" s="20">
        <v>45641</v>
      </c>
      <c r="G554" s="20">
        <v>45640</v>
      </c>
      <c r="H554" s="2">
        <v>1689</v>
      </c>
      <c r="I554" s="2">
        <v>1320</v>
      </c>
      <c r="J554" s="4" t="s">
        <v>14</v>
      </c>
      <c r="K554">
        <f>Table1[[#This Row],[Delivered Qty]]/Table1[[#This Row],[Ordered Qty]]</f>
        <v>0.78152753108348139</v>
      </c>
      <c r="L554">
        <f>VLOOKUP(Table1[[#This Row],[Supplier ID]],Suppliers!$A$2:$D$6,4,FALSE)</f>
        <v>5</v>
      </c>
      <c r="M554">
        <f>Table1[[#This Row],[Actual Delivery]]-Table1[[#This Row],[Order Date]]-Table1[[#This Row],[std Lead time]]</f>
        <v>-1</v>
      </c>
      <c r="N554">
        <f>IF(AND(Table1[[#This Row],[Status]] = "Delivered", Table1[[#This Row],[Actual Delivery]] &lt;= Table1[[#This Row],[Promised Delivery]],Table1[[#This Row],[FillRate]]&gt;=0.95),1,0)</f>
        <v>0</v>
      </c>
      <c r="O554" t="str">
        <f>VLOOKUP(B554,Products!$A$2:$D$9,3,FALSE)</f>
        <v>Packaging</v>
      </c>
    </row>
    <row r="555" spans="1:15" x14ac:dyDescent="0.25">
      <c r="A555" s="15" t="s">
        <v>583</v>
      </c>
      <c r="B555" s="5" t="s">
        <v>16</v>
      </c>
      <c r="C555" s="5" t="s">
        <v>31</v>
      </c>
      <c r="D555" s="5" t="s">
        <v>28</v>
      </c>
      <c r="E555" s="6">
        <v>45642</v>
      </c>
      <c r="F555" s="21">
        <v>45647</v>
      </c>
      <c r="G555" s="21">
        <v>45646</v>
      </c>
      <c r="H555" s="5">
        <v>1809</v>
      </c>
      <c r="I555" s="5">
        <v>1729</v>
      </c>
      <c r="J555" s="4" t="s">
        <v>14</v>
      </c>
      <c r="K555">
        <f>Table1[[#This Row],[Delivered Qty]]/Table1[[#This Row],[Ordered Qty]]</f>
        <v>0.95577667219458262</v>
      </c>
      <c r="L555">
        <f>VLOOKUP(Table1[[#This Row],[Supplier ID]],Suppliers!$A$2:$D$6,4,FALSE)</f>
        <v>5</v>
      </c>
      <c r="M555">
        <f>Table1[[#This Row],[Actual Delivery]]-Table1[[#This Row],[Order Date]]-Table1[[#This Row],[std Lead time]]</f>
        <v>-1</v>
      </c>
      <c r="N555">
        <f>IF(AND(Table1[[#This Row],[Status]] = "Delivered", Table1[[#This Row],[Actual Delivery]] &lt;= Table1[[#This Row],[Promised Delivery]],Table1[[#This Row],[FillRate]]&gt;=0.95),1,0)</f>
        <v>1</v>
      </c>
      <c r="O555" t="str">
        <f>VLOOKUP(B555,Products!$A$2:$D$9,3,FALSE)</f>
        <v>Packaging</v>
      </c>
    </row>
    <row r="556" spans="1:15" x14ac:dyDescent="0.25">
      <c r="A556" s="14" t="s">
        <v>584</v>
      </c>
      <c r="B556" s="2" t="s">
        <v>30</v>
      </c>
      <c r="C556" s="2" t="s">
        <v>57</v>
      </c>
      <c r="D556" s="2" t="s">
        <v>28</v>
      </c>
      <c r="E556" s="3">
        <v>45637</v>
      </c>
      <c r="F556" s="20">
        <v>45658</v>
      </c>
      <c r="G556" s="20">
        <v>45660</v>
      </c>
      <c r="H556" s="2">
        <v>314</v>
      </c>
      <c r="I556" s="2">
        <v>290</v>
      </c>
      <c r="J556" s="8" t="s">
        <v>577</v>
      </c>
      <c r="K556">
        <f>Table1[[#This Row],[Delivered Qty]]/Table1[[#This Row],[Ordered Qty]]</f>
        <v>0.92356687898089174</v>
      </c>
      <c r="L556">
        <f>VLOOKUP(Table1[[#This Row],[Supplier ID]],Suppliers!$A$2:$D$6,4,FALSE)</f>
        <v>21</v>
      </c>
      <c r="M556">
        <f>Table1[[#This Row],[Actual Delivery]]-Table1[[#This Row],[Order Date]]-Table1[[#This Row],[std Lead time]]</f>
        <v>2</v>
      </c>
      <c r="N556">
        <f>IF(AND(Table1[[#This Row],[Status]] = "Delivered", Table1[[#This Row],[Actual Delivery]] &lt;= Table1[[#This Row],[Promised Delivery]],Table1[[#This Row],[FillRate]]&gt;=0.95),1,0)</f>
        <v>0</v>
      </c>
      <c r="O556" t="str">
        <f>VLOOKUP(B556,Products!$A$2:$D$9,3,FALSE)</f>
        <v>Finished Goods</v>
      </c>
    </row>
    <row r="557" spans="1:15" x14ac:dyDescent="0.25">
      <c r="A557" s="15" t="s">
        <v>585</v>
      </c>
      <c r="B557" s="5" t="s">
        <v>22</v>
      </c>
      <c r="C557" s="5" t="s">
        <v>26</v>
      </c>
      <c r="D557" s="5" t="s">
        <v>18</v>
      </c>
      <c r="E557" s="6">
        <v>45632</v>
      </c>
      <c r="F557" s="21">
        <v>45639</v>
      </c>
      <c r="G557" s="21">
        <v>45642</v>
      </c>
      <c r="H557" s="5">
        <v>1873</v>
      </c>
      <c r="I557" s="5">
        <v>1757</v>
      </c>
      <c r="J557" s="4" t="s">
        <v>14</v>
      </c>
      <c r="K557">
        <f>Table1[[#This Row],[Delivered Qty]]/Table1[[#This Row],[Ordered Qty]]</f>
        <v>0.93806727175654026</v>
      </c>
      <c r="L557">
        <f>VLOOKUP(Table1[[#This Row],[Supplier ID]],Suppliers!$A$2:$D$6,4,FALSE)</f>
        <v>7</v>
      </c>
      <c r="M557">
        <f>Table1[[#This Row],[Actual Delivery]]-Table1[[#This Row],[Order Date]]-Table1[[#This Row],[std Lead time]]</f>
        <v>3</v>
      </c>
      <c r="N557">
        <f>IF(AND(Table1[[#This Row],[Status]] = "Delivered", Table1[[#This Row],[Actual Delivery]] &lt;= Table1[[#This Row],[Promised Delivery]],Table1[[#This Row],[FillRate]]&gt;=0.95),1,0)</f>
        <v>0</v>
      </c>
      <c r="O557" t="str">
        <f>VLOOKUP(B557,Products!$A$2:$D$9,3,FALSE)</f>
        <v>Finished Goods</v>
      </c>
    </row>
    <row r="558" spans="1:15" x14ac:dyDescent="0.25">
      <c r="A558" s="14" t="s">
        <v>586</v>
      </c>
      <c r="B558" s="2" t="s">
        <v>11</v>
      </c>
      <c r="C558" s="2" t="s">
        <v>26</v>
      </c>
      <c r="D558" s="2" t="s">
        <v>13</v>
      </c>
      <c r="E558" s="3">
        <v>45639</v>
      </c>
      <c r="F558" s="20">
        <v>45646</v>
      </c>
      <c r="G558" s="20">
        <v>45644</v>
      </c>
      <c r="H558" s="2">
        <v>607</v>
      </c>
      <c r="I558" s="2">
        <v>534</v>
      </c>
      <c r="J558" s="4" t="s">
        <v>14</v>
      </c>
      <c r="K558">
        <f>Table1[[#This Row],[Delivered Qty]]/Table1[[#This Row],[Ordered Qty]]</f>
        <v>0.87973640856672153</v>
      </c>
      <c r="L558">
        <f>VLOOKUP(Table1[[#This Row],[Supplier ID]],Suppliers!$A$2:$D$6,4,FALSE)</f>
        <v>7</v>
      </c>
      <c r="M558">
        <f>Table1[[#This Row],[Actual Delivery]]-Table1[[#This Row],[Order Date]]-Table1[[#This Row],[std Lead time]]</f>
        <v>-2</v>
      </c>
      <c r="N558">
        <f>IF(AND(Table1[[#This Row],[Status]] = "Delivered", Table1[[#This Row],[Actual Delivery]] &lt;= Table1[[#This Row],[Promised Delivery]],Table1[[#This Row],[FillRate]]&gt;=0.95),1,0)</f>
        <v>0</v>
      </c>
      <c r="O558" t="str">
        <f>VLOOKUP(B558,Products!$A$2:$D$9,3,FALSE)</f>
        <v>Packaging</v>
      </c>
    </row>
    <row r="559" spans="1:15" x14ac:dyDescent="0.25">
      <c r="A559" s="15" t="s">
        <v>587</v>
      </c>
      <c r="B559" s="5" t="s">
        <v>16</v>
      </c>
      <c r="C559" s="5" t="s">
        <v>17</v>
      </c>
      <c r="D559" s="5" t="s">
        <v>13</v>
      </c>
      <c r="E559" s="6">
        <v>45642</v>
      </c>
      <c r="F559" s="21">
        <v>45648</v>
      </c>
      <c r="G559" s="21">
        <v>45647</v>
      </c>
      <c r="H559" s="5">
        <v>861</v>
      </c>
      <c r="I559" s="5">
        <v>701</v>
      </c>
      <c r="J559" s="4" t="s">
        <v>14</v>
      </c>
      <c r="K559">
        <f>Table1[[#This Row],[Delivered Qty]]/Table1[[#This Row],[Ordered Qty]]</f>
        <v>0.81416957026713122</v>
      </c>
      <c r="L559">
        <f>VLOOKUP(Table1[[#This Row],[Supplier ID]],Suppliers!$A$2:$D$6,4,FALSE)</f>
        <v>6</v>
      </c>
      <c r="M559">
        <f>Table1[[#This Row],[Actual Delivery]]-Table1[[#This Row],[Order Date]]-Table1[[#This Row],[std Lead time]]</f>
        <v>-1</v>
      </c>
      <c r="N559">
        <f>IF(AND(Table1[[#This Row],[Status]] = "Delivered", Table1[[#This Row],[Actual Delivery]] &lt;= Table1[[#This Row],[Promised Delivery]],Table1[[#This Row],[FillRate]]&gt;=0.95),1,0)</f>
        <v>0</v>
      </c>
      <c r="O559" t="str">
        <f>VLOOKUP(B559,Products!$A$2:$D$9,3,FALSE)</f>
        <v>Packaging</v>
      </c>
    </row>
    <row r="560" spans="1:15" x14ac:dyDescent="0.25">
      <c r="A560" s="14" t="s">
        <v>588</v>
      </c>
      <c r="B560" s="2" t="s">
        <v>11</v>
      </c>
      <c r="C560" s="2" t="s">
        <v>17</v>
      </c>
      <c r="D560" s="2" t="s">
        <v>28</v>
      </c>
      <c r="E560" s="3">
        <v>45635</v>
      </c>
      <c r="F560" s="20">
        <v>45641</v>
      </c>
      <c r="G560" s="20">
        <v>45639</v>
      </c>
      <c r="H560" s="2">
        <v>938</v>
      </c>
      <c r="I560" s="2">
        <v>914</v>
      </c>
      <c r="J560" s="4" t="s">
        <v>14</v>
      </c>
      <c r="K560">
        <f>Table1[[#This Row],[Delivered Qty]]/Table1[[#This Row],[Ordered Qty]]</f>
        <v>0.97441364605543712</v>
      </c>
      <c r="L560">
        <f>VLOOKUP(Table1[[#This Row],[Supplier ID]],Suppliers!$A$2:$D$6,4,FALSE)</f>
        <v>6</v>
      </c>
      <c r="M560">
        <f>Table1[[#This Row],[Actual Delivery]]-Table1[[#This Row],[Order Date]]-Table1[[#This Row],[std Lead time]]</f>
        <v>-2</v>
      </c>
      <c r="N560">
        <f>IF(AND(Table1[[#This Row],[Status]] = "Delivered", Table1[[#This Row],[Actual Delivery]] &lt;= Table1[[#This Row],[Promised Delivery]],Table1[[#This Row],[FillRate]]&gt;=0.95),1,0)</f>
        <v>1</v>
      </c>
      <c r="O560" t="str">
        <f>VLOOKUP(B560,Products!$A$2:$D$9,3,FALSE)</f>
        <v>Packaging</v>
      </c>
    </row>
    <row r="561" spans="1:15" x14ac:dyDescent="0.25">
      <c r="A561" s="15" t="s">
        <v>589</v>
      </c>
      <c r="B561" s="5" t="s">
        <v>20</v>
      </c>
      <c r="C561" s="5" t="s">
        <v>26</v>
      </c>
      <c r="D561" s="5" t="s">
        <v>13</v>
      </c>
      <c r="E561" s="6">
        <v>45647</v>
      </c>
      <c r="F561" s="21">
        <v>45654</v>
      </c>
      <c r="G561" s="21">
        <v>45652</v>
      </c>
      <c r="H561" s="5">
        <v>1826</v>
      </c>
      <c r="I561" s="5">
        <v>1693</v>
      </c>
      <c r="J561" s="4" t="s">
        <v>14</v>
      </c>
      <c r="K561">
        <f>Table1[[#This Row],[Delivered Qty]]/Table1[[#This Row],[Ordered Qty]]</f>
        <v>0.92716319824753557</v>
      </c>
      <c r="L561">
        <f>VLOOKUP(Table1[[#This Row],[Supplier ID]],Suppliers!$A$2:$D$6,4,FALSE)</f>
        <v>7</v>
      </c>
      <c r="M561">
        <f>Table1[[#This Row],[Actual Delivery]]-Table1[[#This Row],[Order Date]]-Table1[[#This Row],[std Lead time]]</f>
        <v>-2</v>
      </c>
      <c r="N561">
        <f>IF(AND(Table1[[#This Row],[Status]] = "Delivered", Table1[[#This Row],[Actual Delivery]] &lt;= Table1[[#This Row],[Promised Delivery]],Table1[[#This Row],[FillRate]]&gt;=0.95),1,0)</f>
        <v>0</v>
      </c>
      <c r="O561" t="str">
        <f>VLOOKUP(B561,Products!$A$2:$D$9,3,FALSE)</f>
        <v>Raw Material</v>
      </c>
    </row>
    <row r="562" spans="1:15" x14ac:dyDescent="0.25">
      <c r="A562" s="14" t="s">
        <v>590</v>
      </c>
      <c r="B562" s="2" t="s">
        <v>16</v>
      </c>
      <c r="C562" s="2" t="s">
        <v>57</v>
      </c>
      <c r="D562" s="2" t="s">
        <v>13</v>
      </c>
      <c r="E562" s="3">
        <v>45627</v>
      </c>
      <c r="F562" s="20">
        <v>45648</v>
      </c>
      <c r="G562" s="20">
        <v>45648</v>
      </c>
      <c r="H562" s="2">
        <v>1173</v>
      </c>
      <c r="I562" s="2">
        <v>1092</v>
      </c>
      <c r="J562" s="4" t="s">
        <v>14</v>
      </c>
      <c r="K562">
        <f>Table1[[#This Row],[Delivered Qty]]/Table1[[#This Row],[Ordered Qty]]</f>
        <v>0.93094629156010233</v>
      </c>
      <c r="L562">
        <f>VLOOKUP(Table1[[#This Row],[Supplier ID]],Suppliers!$A$2:$D$6,4,FALSE)</f>
        <v>21</v>
      </c>
      <c r="M562">
        <f>Table1[[#This Row],[Actual Delivery]]-Table1[[#This Row],[Order Date]]-Table1[[#This Row],[std Lead time]]</f>
        <v>0</v>
      </c>
      <c r="N562">
        <f>IF(AND(Table1[[#This Row],[Status]] = "Delivered", Table1[[#This Row],[Actual Delivery]] &lt;= Table1[[#This Row],[Promised Delivery]],Table1[[#This Row],[FillRate]]&gt;=0.95),1,0)</f>
        <v>0</v>
      </c>
      <c r="O562" t="str">
        <f>VLOOKUP(B562,Products!$A$2:$D$9,3,FALSE)</f>
        <v>Packaging</v>
      </c>
    </row>
    <row r="563" spans="1:15" x14ac:dyDescent="0.25">
      <c r="A563" s="15" t="s">
        <v>591</v>
      </c>
      <c r="B563" s="5" t="s">
        <v>33</v>
      </c>
      <c r="C563" s="5" t="s">
        <v>12</v>
      </c>
      <c r="D563" s="5" t="s">
        <v>28</v>
      </c>
      <c r="E563" s="6">
        <v>45634</v>
      </c>
      <c r="F563" s="21">
        <v>45652</v>
      </c>
      <c r="G563" s="21">
        <v>45652</v>
      </c>
      <c r="H563" s="5">
        <v>1466</v>
      </c>
      <c r="I563" s="5">
        <v>1369</v>
      </c>
      <c r="J563" s="4" t="s">
        <v>14</v>
      </c>
      <c r="K563">
        <f>Table1[[#This Row],[Delivered Qty]]/Table1[[#This Row],[Ordered Qty]]</f>
        <v>0.93383356070941337</v>
      </c>
      <c r="L563">
        <f>VLOOKUP(Table1[[#This Row],[Supplier ID]],Suppliers!$A$2:$D$6,4,FALSE)</f>
        <v>18</v>
      </c>
      <c r="M563">
        <f>Table1[[#This Row],[Actual Delivery]]-Table1[[#This Row],[Order Date]]-Table1[[#This Row],[std Lead time]]</f>
        <v>0</v>
      </c>
      <c r="N563">
        <f>IF(AND(Table1[[#This Row],[Status]] = "Delivered", Table1[[#This Row],[Actual Delivery]] &lt;= Table1[[#This Row],[Promised Delivery]],Table1[[#This Row],[FillRate]]&gt;=0.95),1,0)</f>
        <v>0</v>
      </c>
      <c r="O563" t="str">
        <f>VLOOKUP(B563,Products!$A$2:$D$9,3,FALSE)</f>
        <v>Raw Material</v>
      </c>
    </row>
    <row r="564" spans="1:15" x14ac:dyDescent="0.25">
      <c r="A564" s="14" t="s">
        <v>592</v>
      </c>
      <c r="B564" s="2" t="s">
        <v>11</v>
      </c>
      <c r="C564" s="2" t="s">
        <v>26</v>
      </c>
      <c r="D564" s="2" t="s">
        <v>23</v>
      </c>
      <c r="E564" s="3">
        <v>45647</v>
      </c>
      <c r="F564" s="20">
        <v>45654</v>
      </c>
      <c r="G564" s="20">
        <v>45655</v>
      </c>
      <c r="H564" s="2">
        <v>457</v>
      </c>
      <c r="I564" s="2">
        <v>405</v>
      </c>
      <c r="J564" s="4" t="s">
        <v>14</v>
      </c>
      <c r="K564">
        <f>Table1[[#This Row],[Delivered Qty]]/Table1[[#This Row],[Ordered Qty]]</f>
        <v>0.88621444201312916</v>
      </c>
      <c r="L564">
        <f>VLOOKUP(Table1[[#This Row],[Supplier ID]],Suppliers!$A$2:$D$6,4,FALSE)</f>
        <v>7</v>
      </c>
      <c r="M564">
        <f>Table1[[#This Row],[Actual Delivery]]-Table1[[#This Row],[Order Date]]-Table1[[#This Row],[std Lead time]]</f>
        <v>1</v>
      </c>
      <c r="N564">
        <f>IF(AND(Table1[[#This Row],[Status]] = "Delivered", Table1[[#This Row],[Actual Delivery]] &lt;= Table1[[#This Row],[Promised Delivery]],Table1[[#This Row],[FillRate]]&gt;=0.95),1,0)</f>
        <v>0</v>
      </c>
      <c r="O564" t="str">
        <f>VLOOKUP(B564,Products!$A$2:$D$9,3,FALSE)</f>
        <v>Packaging</v>
      </c>
    </row>
    <row r="565" spans="1:15" x14ac:dyDescent="0.25">
      <c r="A565" s="15" t="s">
        <v>593</v>
      </c>
      <c r="B565" s="5" t="s">
        <v>30</v>
      </c>
      <c r="C565" s="5" t="s">
        <v>17</v>
      </c>
      <c r="D565" s="5" t="s">
        <v>23</v>
      </c>
      <c r="E565" s="6">
        <v>45652</v>
      </c>
      <c r="F565" s="21">
        <v>45658</v>
      </c>
      <c r="G565" s="21">
        <v>45659</v>
      </c>
      <c r="H565" s="5">
        <v>1611</v>
      </c>
      <c r="I565" s="5">
        <v>1510</v>
      </c>
      <c r="J565" s="7" t="s">
        <v>564</v>
      </c>
      <c r="K565">
        <f>Table1[[#This Row],[Delivered Qty]]/Table1[[#This Row],[Ordered Qty]]</f>
        <v>0.9373060211049038</v>
      </c>
      <c r="L565">
        <f>VLOOKUP(Table1[[#This Row],[Supplier ID]],Suppliers!$A$2:$D$6,4,FALSE)</f>
        <v>6</v>
      </c>
      <c r="M565">
        <f>Table1[[#This Row],[Actual Delivery]]-Table1[[#This Row],[Order Date]]-Table1[[#This Row],[std Lead time]]</f>
        <v>1</v>
      </c>
      <c r="N565">
        <f>IF(AND(Table1[[#This Row],[Status]] = "Delivered", Table1[[#This Row],[Actual Delivery]] &lt;= Table1[[#This Row],[Promised Delivery]],Table1[[#This Row],[FillRate]]&gt;=0.95),1,0)</f>
        <v>0</v>
      </c>
      <c r="O565" t="str">
        <f>VLOOKUP(B565,Products!$A$2:$D$9,3,FALSE)</f>
        <v>Finished Goods</v>
      </c>
    </row>
    <row r="566" spans="1:15" x14ac:dyDescent="0.25">
      <c r="A566" s="14" t="s">
        <v>594</v>
      </c>
      <c r="B566" s="2" t="s">
        <v>33</v>
      </c>
      <c r="C566" s="2" t="s">
        <v>12</v>
      </c>
      <c r="D566" s="2" t="s">
        <v>28</v>
      </c>
      <c r="E566" s="3">
        <v>45642</v>
      </c>
      <c r="F566" s="20">
        <v>45660</v>
      </c>
      <c r="G566" s="20">
        <v>45660</v>
      </c>
      <c r="H566" s="2">
        <v>1627</v>
      </c>
      <c r="I566" s="2">
        <v>1544</v>
      </c>
      <c r="J566" s="8" t="s">
        <v>577</v>
      </c>
      <c r="K566">
        <f>Table1[[#This Row],[Delivered Qty]]/Table1[[#This Row],[Ordered Qty]]</f>
        <v>0.94898586355255066</v>
      </c>
      <c r="L566">
        <f>VLOOKUP(Table1[[#This Row],[Supplier ID]],Suppliers!$A$2:$D$6,4,FALSE)</f>
        <v>18</v>
      </c>
      <c r="M566">
        <f>Table1[[#This Row],[Actual Delivery]]-Table1[[#This Row],[Order Date]]-Table1[[#This Row],[std Lead time]]</f>
        <v>0</v>
      </c>
      <c r="N566">
        <f>IF(AND(Table1[[#This Row],[Status]] = "Delivered", Table1[[#This Row],[Actual Delivery]] &lt;= Table1[[#This Row],[Promised Delivery]],Table1[[#This Row],[FillRate]]&gt;=0.95),1,0)</f>
        <v>0</v>
      </c>
      <c r="O566" t="str">
        <f>VLOOKUP(B566,Products!$A$2:$D$9,3,FALSE)</f>
        <v>Raw Material</v>
      </c>
    </row>
    <row r="567" spans="1:15" x14ac:dyDescent="0.25">
      <c r="A567" s="15" t="s">
        <v>595</v>
      </c>
      <c r="B567" s="5" t="s">
        <v>33</v>
      </c>
      <c r="C567" s="5" t="s">
        <v>17</v>
      </c>
      <c r="D567" s="5" t="s">
        <v>23</v>
      </c>
      <c r="E567" s="6">
        <v>45637</v>
      </c>
      <c r="F567" s="21">
        <v>45643</v>
      </c>
      <c r="G567" s="21">
        <v>45643</v>
      </c>
      <c r="H567" s="5">
        <v>1962</v>
      </c>
      <c r="I567" s="5">
        <v>1874</v>
      </c>
      <c r="J567" s="4" t="s">
        <v>14</v>
      </c>
      <c r="K567">
        <f>Table1[[#This Row],[Delivered Qty]]/Table1[[#This Row],[Ordered Qty]]</f>
        <v>0.95514780835881752</v>
      </c>
      <c r="L567">
        <f>VLOOKUP(Table1[[#This Row],[Supplier ID]],Suppliers!$A$2:$D$6,4,FALSE)</f>
        <v>6</v>
      </c>
      <c r="M567">
        <f>Table1[[#This Row],[Actual Delivery]]-Table1[[#This Row],[Order Date]]-Table1[[#This Row],[std Lead time]]</f>
        <v>0</v>
      </c>
      <c r="N567">
        <f>IF(AND(Table1[[#This Row],[Status]] = "Delivered", Table1[[#This Row],[Actual Delivery]] &lt;= Table1[[#This Row],[Promised Delivery]],Table1[[#This Row],[FillRate]]&gt;=0.95),1,0)</f>
        <v>1</v>
      </c>
      <c r="O567" t="str">
        <f>VLOOKUP(B567,Products!$A$2:$D$9,3,FALSE)</f>
        <v>Raw Material</v>
      </c>
    </row>
    <row r="568" spans="1:15" x14ac:dyDescent="0.25">
      <c r="A568" s="14" t="s">
        <v>596</v>
      </c>
      <c r="B568" s="2" t="s">
        <v>16</v>
      </c>
      <c r="C568" s="2" t="s">
        <v>17</v>
      </c>
      <c r="D568" s="2" t="s">
        <v>13</v>
      </c>
      <c r="E568" s="3">
        <v>45641</v>
      </c>
      <c r="F568" s="20">
        <v>45647</v>
      </c>
      <c r="G568" s="20">
        <v>45652</v>
      </c>
      <c r="H568" s="2">
        <v>951</v>
      </c>
      <c r="I568" s="2">
        <v>836</v>
      </c>
      <c r="J568" s="4" t="s">
        <v>14</v>
      </c>
      <c r="K568">
        <f>Table1[[#This Row],[Delivered Qty]]/Table1[[#This Row],[Ordered Qty]]</f>
        <v>0.87907465825446895</v>
      </c>
      <c r="L568">
        <f>VLOOKUP(Table1[[#This Row],[Supplier ID]],Suppliers!$A$2:$D$6,4,FALSE)</f>
        <v>6</v>
      </c>
      <c r="M568">
        <f>Table1[[#This Row],[Actual Delivery]]-Table1[[#This Row],[Order Date]]-Table1[[#This Row],[std Lead time]]</f>
        <v>5</v>
      </c>
      <c r="N568">
        <f>IF(AND(Table1[[#This Row],[Status]] = "Delivered", Table1[[#This Row],[Actual Delivery]] &lt;= Table1[[#This Row],[Promised Delivery]],Table1[[#This Row],[FillRate]]&gt;=0.95),1,0)</f>
        <v>0</v>
      </c>
      <c r="O568" t="str">
        <f>VLOOKUP(B568,Products!$A$2:$D$9,3,FALSE)</f>
        <v>Packaging</v>
      </c>
    </row>
    <row r="569" spans="1:15" x14ac:dyDescent="0.25">
      <c r="A569" s="15" t="s">
        <v>597</v>
      </c>
      <c r="B569" s="5" t="s">
        <v>22</v>
      </c>
      <c r="C569" s="5" t="s">
        <v>31</v>
      </c>
      <c r="D569" s="5" t="s">
        <v>28</v>
      </c>
      <c r="E569" s="6">
        <v>45646</v>
      </c>
      <c r="F569" s="21">
        <v>45651</v>
      </c>
      <c r="G569" s="21">
        <v>45653</v>
      </c>
      <c r="H569" s="5">
        <v>856</v>
      </c>
      <c r="I569" s="5">
        <v>832</v>
      </c>
      <c r="J569" s="4" t="s">
        <v>14</v>
      </c>
      <c r="K569">
        <f>Table1[[#This Row],[Delivered Qty]]/Table1[[#This Row],[Ordered Qty]]</f>
        <v>0.9719626168224299</v>
      </c>
      <c r="L569">
        <f>VLOOKUP(Table1[[#This Row],[Supplier ID]],Suppliers!$A$2:$D$6,4,FALSE)</f>
        <v>5</v>
      </c>
      <c r="M569">
        <f>Table1[[#This Row],[Actual Delivery]]-Table1[[#This Row],[Order Date]]-Table1[[#This Row],[std Lead time]]</f>
        <v>2</v>
      </c>
      <c r="N569">
        <f>IF(AND(Table1[[#This Row],[Status]] = "Delivered", Table1[[#This Row],[Actual Delivery]] &lt;= Table1[[#This Row],[Promised Delivery]],Table1[[#This Row],[FillRate]]&gt;=0.95),1,0)</f>
        <v>0</v>
      </c>
      <c r="O569" t="str">
        <f>VLOOKUP(B569,Products!$A$2:$D$9,3,FALSE)</f>
        <v>Finished Goods</v>
      </c>
    </row>
    <row r="570" spans="1:15" x14ac:dyDescent="0.25">
      <c r="A570" s="14" t="s">
        <v>598</v>
      </c>
      <c r="B570" s="2" t="s">
        <v>22</v>
      </c>
      <c r="C570" s="2" t="s">
        <v>31</v>
      </c>
      <c r="D570" s="2" t="s">
        <v>18</v>
      </c>
      <c r="E570" s="3">
        <v>45651</v>
      </c>
      <c r="F570" s="20">
        <v>45656</v>
      </c>
      <c r="G570" s="20">
        <v>45655</v>
      </c>
      <c r="H570" s="2">
        <v>1039</v>
      </c>
      <c r="I570" s="2">
        <v>1001</v>
      </c>
      <c r="J570" s="4" t="s">
        <v>14</v>
      </c>
      <c r="K570">
        <f>Table1[[#This Row],[Delivered Qty]]/Table1[[#This Row],[Ordered Qty]]</f>
        <v>0.96342637151106836</v>
      </c>
      <c r="L570">
        <f>VLOOKUP(Table1[[#This Row],[Supplier ID]],Suppliers!$A$2:$D$6,4,FALSE)</f>
        <v>5</v>
      </c>
      <c r="M570">
        <f>Table1[[#This Row],[Actual Delivery]]-Table1[[#This Row],[Order Date]]-Table1[[#This Row],[std Lead time]]</f>
        <v>-1</v>
      </c>
      <c r="N570">
        <f>IF(AND(Table1[[#This Row],[Status]] = "Delivered", Table1[[#This Row],[Actual Delivery]] &lt;= Table1[[#This Row],[Promised Delivery]],Table1[[#This Row],[FillRate]]&gt;=0.95),1,0)</f>
        <v>1</v>
      </c>
      <c r="O570" t="str">
        <f>VLOOKUP(B570,Products!$A$2:$D$9,3,FALSE)</f>
        <v>Finished Goods</v>
      </c>
    </row>
    <row r="571" spans="1:15" x14ac:dyDescent="0.25">
      <c r="A571" s="15" t="s">
        <v>599</v>
      </c>
      <c r="B571" s="5" t="s">
        <v>16</v>
      </c>
      <c r="C571" s="5" t="s">
        <v>26</v>
      </c>
      <c r="D571" s="5" t="s">
        <v>28</v>
      </c>
      <c r="E571" s="6">
        <v>45628</v>
      </c>
      <c r="F571" s="21">
        <v>45635</v>
      </c>
      <c r="G571" s="21">
        <v>45633</v>
      </c>
      <c r="H571" s="5">
        <v>613</v>
      </c>
      <c r="I571" s="5">
        <v>492</v>
      </c>
      <c r="J571" s="4" t="s">
        <v>14</v>
      </c>
      <c r="K571">
        <f>Table1[[#This Row],[Delivered Qty]]/Table1[[#This Row],[Ordered Qty]]</f>
        <v>0.80261011419249595</v>
      </c>
      <c r="L571">
        <f>VLOOKUP(Table1[[#This Row],[Supplier ID]],Suppliers!$A$2:$D$6,4,FALSE)</f>
        <v>7</v>
      </c>
      <c r="M571">
        <f>Table1[[#This Row],[Actual Delivery]]-Table1[[#This Row],[Order Date]]-Table1[[#This Row],[std Lead time]]</f>
        <v>-2</v>
      </c>
      <c r="N571">
        <f>IF(AND(Table1[[#This Row],[Status]] = "Delivered", Table1[[#This Row],[Actual Delivery]] &lt;= Table1[[#This Row],[Promised Delivery]],Table1[[#This Row],[FillRate]]&gt;=0.95),1,0)</f>
        <v>0</v>
      </c>
      <c r="O571" t="str">
        <f>VLOOKUP(B571,Products!$A$2:$D$9,3,FALSE)</f>
        <v>Packaging</v>
      </c>
    </row>
    <row r="572" spans="1:15" x14ac:dyDescent="0.25">
      <c r="A572" s="14" t="s">
        <v>600</v>
      </c>
      <c r="B572" s="2" t="s">
        <v>20</v>
      </c>
      <c r="C572" s="2" t="s">
        <v>26</v>
      </c>
      <c r="D572" s="2" t="s">
        <v>28</v>
      </c>
      <c r="E572" s="3">
        <v>45645</v>
      </c>
      <c r="F572" s="20">
        <v>45652</v>
      </c>
      <c r="G572" s="20">
        <v>45652</v>
      </c>
      <c r="H572" s="2">
        <v>1477</v>
      </c>
      <c r="I572" s="2">
        <v>1432</v>
      </c>
      <c r="J572" s="4" t="s">
        <v>14</v>
      </c>
      <c r="K572">
        <f>Table1[[#This Row],[Delivered Qty]]/Table1[[#This Row],[Ordered Qty]]</f>
        <v>0.969532836831415</v>
      </c>
      <c r="L572">
        <f>VLOOKUP(Table1[[#This Row],[Supplier ID]],Suppliers!$A$2:$D$6,4,FALSE)</f>
        <v>7</v>
      </c>
      <c r="M572">
        <f>Table1[[#This Row],[Actual Delivery]]-Table1[[#This Row],[Order Date]]-Table1[[#This Row],[std Lead time]]</f>
        <v>0</v>
      </c>
      <c r="N572">
        <f>IF(AND(Table1[[#This Row],[Status]] = "Delivered", Table1[[#This Row],[Actual Delivery]] &lt;= Table1[[#This Row],[Promised Delivery]],Table1[[#This Row],[FillRate]]&gt;=0.95),1,0)</f>
        <v>1</v>
      </c>
      <c r="O572" t="str">
        <f>VLOOKUP(B572,Products!$A$2:$D$9,3,FALSE)</f>
        <v>Raw Material</v>
      </c>
    </row>
    <row r="573" spans="1:15" x14ac:dyDescent="0.25">
      <c r="A573" s="15" t="s">
        <v>601</v>
      </c>
      <c r="B573" s="5" t="s">
        <v>37</v>
      </c>
      <c r="C573" s="5" t="s">
        <v>26</v>
      </c>
      <c r="D573" s="5" t="s">
        <v>23</v>
      </c>
      <c r="E573" s="6">
        <v>45634</v>
      </c>
      <c r="F573" s="21">
        <v>45641</v>
      </c>
      <c r="G573" s="21">
        <v>45639</v>
      </c>
      <c r="H573" s="5">
        <v>1542</v>
      </c>
      <c r="I573" s="5">
        <v>1463</v>
      </c>
      <c r="J573" s="4" t="s">
        <v>14</v>
      </c>
      <c r="K573">
        <f>Table1[[#This Row],[Delivered Qty]]/Table1[[#This Row],[Ordered Qty]]</f>
        <v>0.94876783398184172</v>
      </c>
      <c r="L573">
        <f>VLOOKUP(Table1[[#This Row],[Supplier ID]],Suppliers!$A$2:$D$6,4,FALSE)</f>
        <v>7</v>
      </c>
      <c r="M573">
        <f>Table1[[#This Row],[Actual Delivery]]-Table1[[#This Row],[Order Date]]-Table1[[#This Row],[std Lead time]]</f>
        <v>-2</v>
      </c>
      <c r="N573">
        <f>IF(AND(Table1[[#This Row],[Status]] = "Delivered", Table1[[#This Row],[Actual Delivery]] &lt;= Table1[[#This Row],[Promised Delivery]],Table1[[#This Row],[FillRate]]&gt;=0.95),1,0)</f>
        <v>0</v>
      </c>
      <c r="O573" t="str">
        <f>VLOOKUP(B573,Products!$A$2:$D$9,3,FALSE)</f>
        <v>Raw Material</v>
      </c>
    </row>
    <row r="574" spans="1:15" x14ac:dyDescent="0.25">
      <c r="A574" s="14" t="s">
        <v>602</v>
      </c>
      <c r="B574" s="2" t="s">
        <v>16</v>
      </c>
      <c r="C574" s="2" t="s">
        <v>57</v>
      </c>
      <c r="D574" s="2" t="s">
        <v>28</v>
      </c>
      <c r="E574" s="3">
        <v>45638</v>
      </c>
      <c r="F574" s="20">
        <v>45659</v>
      </c>
      <c r="G574" s="20">
        <v>45665</v>
      </c>
      <c r="H574" s="2">
        <v>319</v>
      </c>
      <c r="I574" s="2">
        <v>306</v>
      </c>
      <c r="J574" s="7" t="s">
        <v>564</v>
      </c>
      <c r="K574">
        <f>Table1[[#This Row],[Delivered Qty]]/Table1[[#This Row],[Ordered Qty]]</f>
        <v>0.95924764890282133</v>
      </c>
      <c r="L574">
        <f>VLOOKUP(Table1[[#This Row],[Supplier ID]],Suppliers!$A$2:$D$6,4,FALSE)</f>
        <v>21</v>
      </c>
      <c r="M574">
        <f>Table1[[#This Row],[Actual Delivery]]-Table1[[#This Row],[Order Date]]-Table1[[#This Row],[std Lead time]]</f>
        <v>6</v>
      </c>
      <c r="N574">
        <f>IF(AND(Table1[[#This Row],[Status]] = "Delivered", Table1[[#This Row],[Actual Delivery]] &lt;= Table1[[#This Row],[Promised Delivery]],Table1[[#This Row],[FillRate]]&gt;=0.95),1,0)</f>
        <v>0</v>
      </c>
      <c r="O574" t="str">
        <f>VLOOKUP(B574,Products!$A$2:$D$9,3,FALSE)</f>
        <v>Packaging</v>
      </c>
    </row>
    <row r="575" spans="1:15" x14ac:dyDescent="0.25">
      <c r="A575" s="15" t="s">
        <v>603</v>
      </c>
      <c r="B575" s="5" t="s">
        <v>37</v>
      </c>
      <c r="C575" s="5" t="s">
        <v>17</v>
      </c>
      <c r="D575" s="5" t="s">
        <v>28</v>
      </c>
      <c r="E575" s="6">
        <v>45650</v>
      </c>
      <c r="F575" s="21">
        <v>45656</v>
      </c>
      <c r="G575" s="21">
        <v>45657</v>
      </c>
      <c r="H575" s="5">
        <v>642</v>
      </c>
      <c r="I575" s="5">
        <v>639</v>
      </c>
      <c r="J575" s="4" t="s">
        <v>14</v>
      </c>
      <c r="K575">
        <f>Table1[[#This Row],[Delivered Qty]]/Table1[[#This Row],[Ordered Qty]]</f>
        <v>0.99532710280373837</v>
      </c>
      <c r="L575">
        <f>VLOOKUP(Table1[[#This Row],[Supplier ID]],Suppliers!$A$2:$D$6,4,FALSE)</f>
        <v>6</v>
      </c>
      <c r="M575">
        <f>Table1[[#This Row],[Actual Delivery]]-Table1[[#This Row],[Order Date]]-Table1[[#This Row],[std Lead time]]</f>
        <v>1</v>
      </c>
      <c r="N575">
        <f>IF(AND(Table1[[#This Row],[Status]] = "Delivered", Table1[[#This Row],[Actual Delivery]] &lt;= Table1[[#This Row],[Promised Delivery]],Table1[[#This Row],[FillRate]]&gt;=0.95),1,0)</f>
        <v>0</v>
      </c>
      <c r="O575" t="str">
        <f>VLOOKUP(B575,Products!$A$2:$D$9,3,FALSE)</f>
        <v>Raw Material</v>
      </c>
    </row>
    <row r="576" spans="1:15" x14ac:dyDescent="0.25">
      <c r="A576" s="14" t="s">
        <v>604</v>
      </c>
      <c r="B576" s="2" t="s">
        <v>16</v>
      </c>
      <c r="C576" s="2" t="s">
        <v>26</v>
      </c>
      <c r="D576" s="2" t="s">
        <v>13</v>
      </c>
      <c r="E576" s="3">
        <v>45644</v>
      </c>
      <c r="F576" s="20">
        <v>45651</v>
      </c>
      <c r="G576" s="20">
        <v>45651</v>
      </c>
      <c r="H576" s="2">
        <v>1545</v>
      </c>
      <c r="I576" s="2">
        <v>1289</v>
      </c>
      <c r="J576" s="4" t="s">
        <v>14</v>
      </c>
      <c r="K576">
        <f>Table1[[#This Row],[Delivered Qty]]/Table1[[#This Row],[Ordered Qty]]</f>
        <v>0.83430420711974107</v>
      </c>
      <c r="L576">
        <f>VLOOKUP(Table1[[#This Row],[Supplier ID]],Suppliers!$A$2:$D$6,4,FALSE)</f>
        <v>7</v>
      </c>
      <c r="M576">
        <f>Table1[[#This Row],[Actual Delivery]]-Table1[[#This Row],[Order Date]]-Table1[[#This Row],[std Lead time]]</f>
        <v>0</v>
      </c>
      <c r="N576">
        <f>IF(AND(Table1[[#This Row],[Status]] = "Delivered", Table1[[#This Row],[Actual Delivery]] &lt;= Table1[[#This Row],[Promised Delivery]],Table1[[#This Row],[FillRate]]&gt;=0.95),1,0)</f>
        <v>0</v>
      </c>
      <c r="O576" t="str">
        <f>VLOOKUP(B576,Products!$A$2:$D$9,3,FALSE)</f>
        <v>Packaging</v>
      </c>
    </row>
    <row r="577" spans="1:15" x14ac:dyDescent="0.25">
      <c r="A577" s="15" t="s">
        <v>605</v>
      </c>
      <c r="B577" s="5" t="s">
        <v>33</v>
      </c>
      <c r="C577" s="5" t="s">
        <v>17</v>
      </c>
      <c r="D577" s="5" t="s">
        <v>18</v>
      </c>
      <c r="E577" s="6">
        <v>45650</v>
      </c>
      <c r="F577" s="21">
        <v>45656</v>
      </c>
      <c r="G577" s="21">
        <v>45661</v>
      </c>
      <c r="H577" s="5">
        <v>933</v>
      </c>
      <c r="I577" s="5">
        <v>902</v>
      </c>
      <c r="J577" s="7" t="s">
        <v>564</v>
      </c>
      <c r="K577">
        <f>Table1[[#This Row],[Delivered Qty]]/Table1[[#This Row],[Ordered Qty]]</f>
        <v>0.96677384780278675</v>
      </c>
      <c r="L577">
        <f>VLOOKUP(Table1[[#This Row],[Supplier ID]],Suppliers!$A$2:$D$6,4,FALSE)</f>
        <v>6</v>
      </c>
      <c r="M577">
        <f>Table1[[#This Row],[Actual Delivery]]-Table1[[#This Row],[Order Date]]-Table1[[#This Row],[std Lead time]]</f>
        <v>5</v>
      </c>
      <c r="N577">
        <f>IF(AND(Table1[[#This Row],[Status]] = "Delivered", Table1[[#This Row],[Actual Delivery]] &lt;= Table1[[#This Row],[Promised Delivery]],Table1[[#This Row],[FillRate]]&gt;=0.95),1,0)</f>
        <v>0</v>
      </c>
      <c r="O577" t="str">
        <f>VLOOKUP(B577,Products!$A$2:$D$9,3,FALSE)</f>
        <v>Raw Material</v>
      </c>
    </row>
    <row r="578" spans="1:15" x14ac:dyDescent="0.25">
      <c r="A578" s="14" t="s">
        <v>606</v>
      </c>
      <c r="B578" s="2" t="s">
        <v>22</v>
      </c>
      <c r="C578" s="2" t="s">
        <v>26</v>
      </c>
      <c r="D578" s="2" t="s">
        <v>13</v>
      </c>
      <c r="E578" s="3">
        <v>45652</v>
      </c>
      <c r="F578" s="20">
        <v>45659</v>
      </c>
      <c r="G578" s="20">
        <v>45659</v>
      </c>
      <c r="H578" s="2">
        <v>891</v>
      </c>
      <c r="I578" s="2">
        <v>860</v>
      </c>
      <c r="J578" s="7" t="s">
        <v>564</v>
      </c>
      <c r="K578">
        <f>Table1[[#This Row],[Delivered Qty]]/Table1[[#This Row],[Ordered Qty]]</f>
        <v>0.96520763187429859</v>
      </c>
      <c r="L578">
        <f>VLOOKUP(Table1[[#This Row],[Supplier ID]],Suppliers!$A$2:$D$6,4,FALSE)</f>
        <v>7</v>
      </c>
      <c r="M578">
        <f>Table1[[#This Row],[Actual Delivery]]-Table1[[#This Row],[Order Date]]-Table1[[#This Row],[std Lead time]]</f>
        <v>0</v>
      </c>
      <c r="N578">
        <f>IF(AND(Table1[[#This Row],[Status]] = "Delivered", Table1[[#This Row],[Actual Delivery]] &lt;= Table1[[#This Row],[Promised Delivery]],Table1[[#This Row],[FillRate]]&gt;=0.95),1,0)</f>
        <v>0</v>
      </c>
      <c r="O578" t="str">
        <f>VLOOKUP(B578,Products!$A$2:$D$9,3,FALSE)</f>
        <v>Finished Goods</v>
      </c>
    </row>
    <row r="579" spans="1:15" x14ac:dyDescent="0.25">
      <c r="A579" s="15" t="s">
        <v>607</v>
      </c>
      <c r="B579" s="5" t="s">
        <v>44</v>
      </c>
      <c r="C579" s="5" t="s">
        <v>12</v>
      </c>
      <c r="D579" s="5" t="s">
        <v>23</v>
      </c>
      <c r="E579" s="6">
        <v>45644</v>
      </c>
      <c r="F579" s="21">
        <v>45662</v>
      </c>
      <c r="G579" s="21">
        <v>45666</v>
      </c>
      <c r="H579" s="5">
        <v>1765</v>
      </c>
      <c r="I579" s="5">
        <v>1700</v>
      </c>
      <c r="J579" s="7" t="s">
        <v>564</v>
      </c>
      <c r="K579">
        <f>Table1[[#This Row],[Delivered Qty]]/Table1[[#This Row],[Ordered Qty]]</f>
        <v>0.96317280453257792</v>
      </c>
      <c r="L579">
        <f>VLOOKUP(Table1[[#This Row],[Supplier ID]],Suppliers!$A$2:$D$6,4,FALSE)</f>
        <v>18</v>
      </c>
      <c r="M579">
        <f>Table1[[#This Row],[Actual Delivery]]-Table1[[#This Row],[Order Date]]-Table1[[#This Row],[std Lead time]]</f>
        <v>4</v>
      </c>
      <c r="N579">
        <f>IF(AND(Table1[[#This Row],[Status]] = "Delivered", Table1[[#This Row],[Actual Delivery]] &lt;= Table1[[#This Row],[Promised Delivery]],Table1[[#This Row],[FillRate]]&gt;=0.95),1,0)</f>
        <v>0</v>
      </c>
      <c r="O579" t="str">
        <f>VLOOKUP(B579,Products!$A$2:$D$9,3,FALSE)</f>
        <v>Finished Goods</v>
      </c>
    </row>
    <row r="580" spans="1:15" x14ac:dyDescent="0.25">
      <c r="A580" s="14" t="s">
        <v>608</v>
      </c>
      <c r="B580" s="2" t="s">
        <v>30</v>
      </c>
      <c r="C580" s="2" t="s">
        <v>17</v>
      </c>
      <c r="D580" s="2" t="s">
        <v>13</v>
      </c>
      <c r="E580" s="3">
        <v>45645</v>
      </c>
      <c r="F580" s="20">
        <v>45651</v>
      </c>
      <c r="G580" s="20">
        <v>45651</v>
      </c>
      <c r="H580" s="2">
        <v>1724</v>
      </c>
      <c r="I580" s="2">
        <v>1595</v>
      </c>
      <c r="J580" s="4" t="s">
        <v>14</v>
      </c>
      <c r="K580">
        <f>Table1[[#This Row],[Delivered Qty]]/Table1[[#This Row],[Ordered Qty]]</f>
        <v>0.92517401392111365</v>
      </c>
      <c r="L580">
        <f>VLOOKUP(Table1[[#This Row],[Supplier ID]],Suppliers!$A$2:$D$6,4,FALSE)</f>
        <v>6</v>
      </c>
      <c r="M580">
        <f>Table1[[#This Row],[Actual Delivery]]-Table1[[#This Row],[Order Date]]-Table1[[#This Row],[std Lead time]]</f>
        <v>0</v>
      </c>
      <c r="N580">
        <f>IF(AND(Table1[[#This Row],[Status]] = "Delivered", Table1[[#This Row],[Actual Delivery]] &lt;= Table1[[#This Row],[Promised Delivery]],Table1[[#This Row],[FillRate]]&gt;=0.95),1,0)</f>
        <v>0</v>
      </c>
      <c r="O580" t="str">
        <f>VLOOKUP(B580,Products!$A$2:$D$9,3,FALSE)</f>
        <v>Finished Goods</v>
      </c>
    </row>
    <row r="581" spans="1:15" x14ac:dyDescent="0.25">
      <c r="A581" s="15" t="s">
        <v>609</v>
      </c>
      <c r="B581" s="5" t="s">
        <v>44</v>
      </c>
      <c r="C581" s="5" t="s">
        <v>57</v>
      </c>
      <c r="D581" s="5" t="s">
        <v>18</v>
      </c>
      <c r="E581" s="6">
        <v>45627</v>
      </c>
      <c r="F581" s="21">
        <v>45648</v>
      </c>
      <c r="G581" s="21">
        <v>45655</v>
      </c>
      <c r="H581" s="5">
        <v>1260</v>
      </c>
      <c r="I581" s="5">
        <v>1151</v>
      </c>
      <c r="J581" s="4" t="s">
        <v>14</v>
      </c>
      <c r="K581">
        <f>Table1[[#This Row],[Delivered Qty]]/Table1[[#This Row],[Ordered Qty]]</f>
        <v>0.91349206349206347</v>
      </c>
      <c r="L581">
        <f>VLOOKUP(Table1[[#This Row],[Supplier ID]],Suppliers!$A$2:$D$6,4,FALSE)</f>
        <v>21</v>
      </c>
      <c r="M581">
        <f>Table1[[#This Row],[Actual Delivery]]-Table1[[#This Row],[Order Date]]-Table1[[#This Row],[std Lead time]]</f>
        <v>7</v>
      </c>
      <c r="N581">
        <f>IF(AND(Table1[[#This Row],[Status]] = "Delivered", Table1[[#This Row],[Actual Delivery]] &lt;= Table1[[#This Row],[Promised Delivery]],Table1[[#This Row],[FillRate]]&gt;=0.95),1,0)</f>
        <v>0</v>
      </c>
      <c r="O581" t="str">
        <f>VLOOKUP(B581,Products!$A$2:$D$9,3,FALSE)</f>
        <v>Finished Goods</v>
      </c>
    </row>
    <row r="582" spans="1:15" x14ac:dyDescent="0.25">
      <c r="A582" s="14" t="s">
        <v>610</v>
      </c>
      <c r="B582" s="2" t="s">
        <v>37</v>
      </c>
      <c r="C582" s="2" t="s">
        <v>26</v>
      </c>
      <c r="D582" s="2" t="s">
        <v>23</v>
      </c>
      <c r="E582" s="3">
        <v>45634</v>
      </c>
      <c r="F582" s="20">
        <v>45641</v>
      </c>
      <c r="G582" s="20">
        <v>45642</v>
      </c>
      <c r="H582" s="2">
        <v>1780</v>
      </c>
      <c r="I582" s="2">
        <v>1748</v>
      </c>
      <c r="J582" s="4" t="s">
        <v>14</v>
      </c>
      <c r="K582">
        <f>Table1[[#This Row],[Delivered Qty]]/Table1[[#This Row],[Ordered Qty]]</f>
        <v>0.98202247191011238</v>
      </c>
      <c r="L582">
        <f>VLOOKUP(Table1[[#This Row],[Supplier ID]],Suppliers!$A$2:$D$6,4,FALSE)</f>
        <v>7</v>
      </c>
      <c r="M582">
        <f>Table1[[#This Row],[Actual Delivery]]-Table1[[#This Row],[Order Date]]-Table1[[#This Row],[std Lead time]]</f>
        <v>1</v>
      </c>
      <c r="N582">
        <f>IF(AND(Table1[[#This Row],[Status]] = "Delivered", Table1[[#This Row],[Actual Delivery]] &lt;= Table1[[#This Row],[Promised Delivery]],Table1[[#This Row],[FillRate]]&gt;=0.95),1,0)</f>
        <v>0</v>
      </c>
      <c r="O582" t="str">
        <f>VLOOKUP(B582,Products!$A$2:$D$9,3,FALSE)</f>
        <v>Raw Material</v>
      </c>
    </row>
    <row r="583" spans="1:15" x14ac:dyDescent="0.25">
      <c r="A583" s="15" t="s">
        <v>611</v>
      </c>
      <c r="B583" s="5" t="s">
        <v>37</v>
      </c>
      <c r="C583" s="5" t="s">
        <v>17</v>
      </c>
      <c r="D583" s="5" t="s">
        <v>13</v>
      </c>
      <c r="E583" s="6">
        <v>45630</v>
      </c>
      <c r="F583" s="21">
        <v>45636</v>
      </c>
      <c r="G583" s="21">
        <v>45634</v>
      </c>
      <c r="H583" s="5">
        <v>483</v>
      </c>
      <c r="I583" s="5">
        <v>447</v>
      </c>
      <c r="J583" s="4" t="s">
        <v>14</v>
      </c>
      <c r="K583">
        <f>Table1[[#This Row],[Delivered Qty]]/Table1[[#This Row],[Ordered Qty]]</f>
        <v>0.92546583850931674</v>
      </c>
      <c r="L583">
        <f>VLOOKUP(Table1[[#This Row],[Supplier ID]],Suppliers!$A$2:$D$6,4,FALSE)</f>
        <v>6</v>
      </c>
      <c r="M583">
        <f>Table1[[#This Row],[Actual Delivery]]-Table1[[#This Row],[Order Date]]-Table1[[#This Row],[std Lead time]]</f>
        <v>-2</v>
      </c>
      <c r="N583">
        <f>IF(AND(Table1[[#This Row],[Status]] = "Delivered", Table1[[#This Row],[Actual Delivery]] &lt;= Table1[[#This Row],[Promised Delivery]],Table1[[#This Row],[FillRate]]&gt;=0.95),1,0)</f>
        <v>0</v>
      </c>
      <c r="O583" t="str">
        <f>VLOOKUP(B583,Products!$A$2:$D$9,3,FALSE)</f>
        <v>Raw Material</v>
      </c>
    </row>
    <row r="584" spans="1:15" x14ac:dyDescent="0.25">
      <c r="A584" s="14" t="s">
        <v>612</v>
      </c>
      <c r="B584" s="2" t="s">
        <v>20</v>
      </c>
      <c r="C584" s="2" t="s">
        <v>31</v>
      </c>
      <c r="D584" s="2" t="s">
        <v>23</v>
      </c>
      <c r="E584" s="3">
        <v>45652</v>
      </c>
      <c r="F584" s="20">
        <v>45657</v>
      </c>
      <c r="G584" s="20">
        <v>45656</v>
      </c>
      <c r="H584" s="2">
        <v>1365</v>
      </c>
      <c r="I584" s="2">
        <v>1353</v>
      </c>
      <c r="J584" s="4" t="s">
        <v>14</v>
      </c>
      <c r="K584">
        <f>Table1[[#This Row],[Delivered Qty]]/Table1[[#This Row],[Ordered Qty]]</f>
        <v>0.99120879120879124</v>
      </c>
      <c r="L584">
        <f>VLOOKUP(Table1[[#This Row],[Supplier ID]],Suppliers!$A$2:$D$6,4,FALSE)</f>
        <v>5</v>
      </c>
      <c r="M584">
        <f>Table1[[#This Row],[Actual Delivery]]-Table1[[#This Row],[Order Date]]-Table1[[#This Row],[std Lead time]]</f>
        <v>-1</v>
      </c>
      <c r="N584">
        <f>IF(AND(Table1[[#This Row],[Status]] = "Delivered", Table1[[#This Row],[Actual Delivery]] &lt;= Table1[[#This Row],[Promised Delivery]],Table1[[#This Row],[FillRate]]&gt;=0.95),1,0)</f>
        <v>1</v>
      </c>
      <c r="O584" t="str">
        <f>VLOOKUP(B584,Products!$A$2:$D$9,3,FALSE)</f>
        <v>Raw Material</v>
      </c>
    </row>
    <row r="585" spans="1:15" x14ac:dyDescent="0.25">
      <c r="A585" s="15" t="s">
        <v>613</v>
      </c>
      <c r="B585" s="5" t="s">
        <v>16</v>
      </c>
      <c r="C585" s="5" t="s">
        <v>12</v>
      </c>
      <c r="D585" s="5" t="s">
        <v>18</v>
      </c>
      <c r="E585" s="6">
        <v>45632</v>
      </c>
      <c r="F585" s="21">
        <v>45650</v>
      </c>
      <c r="G585" s="21">
        <v>45656</v>
      </c>
      <c r="H585" s="5">
        <v>1639</v>
      </c>
      <c r="I585" s="5">
        <v>1486</v>
      </c>
      <c r="J585" s="4" t="s">
        <v>14</v>
      </c>
      <c r="K585">
        <f>Table1[[#This Row],[Delivered Qty]]/Table1[[#This Row],[Ordered Qty]]</f>
        <v>0.9066503965832825</v>
      </c>
      <c r="L585">
        <f>VLOOKUP(Table1[[#This Row],[Supplier ID]],Suppliers!$A$2:$D$6,4,FALSE)</f>
        <v>18</v>
      </c>
      <c r="M585">
        <f>Table1[[#This Row],[Actual Delivery]]-Table1[[#This Row],[Order Date]]-Table1[[#This Row],[std Lead time]]</f>
        <v>6</v>
      </c>
      <c r="N585">
        <f>IF(AND(Table1[[#This Row],[Status]] = "Delivered", Table1[[#This Row],[Actual Delivery]] &lt;= Table1[[#This Row],[Promised Delivery]],Table1[[#This Row],[FillRate]]&gt;=0.95),1,0)</f>
        <v>0</v>
      </c>
      <c r="O585" t="str">
        <f>VLOOKUP(B585,Products!$A$2:$D$9,3,FALSE)</f>
        <v>Packaging</v>
      </c>
    </row>
    <row r="586" spans="1:15" x14ac:dyDescent="0.25">
      <c r="A586" s="14" t="s">
        <v>614</v>
      </c>
      <c r="B586" s="2" t="s">
        <v>16</v>
      </c>
      <c r="C586" s="2" t="s">
        <v>17</v>
      </c>
      <c r="D586" s="2" t="s">
        <v>23</v>
      </c>
      <c r="E586" s="3">
        <v>45628</v>
      </c>
      <c r="F586" s="20">
        <v>45634</v>
      </c>
      <c r="G586" s="20">
        <v>45632</v>
      </c>
      <c r="H586" s="2">
        <v>1778</v>
      </c>
      <c r="I586" s="2">
        <v>1517</v>
      </c>
      <c r="J586" s="4" t="s">
        <v>14</v>
      </c>
      <c r="K586">
        <f>Table1[[#This Row],[Delivered Qty]]/Table1[[#This Row],[Ordered Qty]]</f>
        <v>0.85320584926884135</v>
      </c>
      <c r="L586">
        <f>VLOOKUP(Table1[[#This Row],[Supplier ID]],Suppliers!$A$2:$D$6,4,FALSE)</f>
        <v>6</v>
      </c>
      <c r="M586">
        <f>Table1[[#This Row],[Actual Delivery]]-Table1[[#This Row],[Order Date]]-Table1[[#This Row],[std Lead time]]</f>
        <v>-2</v>
      </c>
      <c r="N586">
        <f>IF(AND(Table1[[#This Row],[Status]] = "Delivered", Table1[[#This Row],[Actual Delivery]] &lt;= Table1[[#This Row],[Promised Delivery]],Table1[[#This Row],[FillRate]]&gt;=0.95),1,0)</f>
        <v>0</v>
      </c>
      <c r="O586" t="str">
        <f>VLOOKUP(B586,Products!$A$2:$D$9,3,FALSE)</f>
        <v>Packaging</v>
      </c>
    </row>
    <row r="587" spans="1:15" x14ac:dyDescent="0.25">
      <c r="A587" s="15" t="s">
        <v>615</v>
      </c>
      <c r="B587" s="5" t="s">
        <v>22</v>
      </c>
      <c r="C587" s="5" t="s">
        <v>57</v>
      </c>
      <c r="D587" s="5" t="s">
        <v>28</v>
      </c>
      <c r="E587" s="6">
        <v>45654</v>
      </c>
      <c r="F587" s="21">
        <v>45675</v>
      </c>
      <c r="G587" s="21">
        <v>45680</v>
      </c>
      <c r="H587" s="5">
        <v>223</v>
      </c>
      <c r="I587" s="5">
        <v>214</v>
      </c>
      <c r="J587" s="7" t="s">
        <v>564</v>
      </c>
      <c r="K587">
        <f>Table1[[#This Row],[Delivered Qty]]/Table1[[#This Row],[Ordered Qty]]</f>
        <v>0.95964125560538116</v>
      </c>
      <c r="L587">
        <f>VLOOKUP(Table1[[#This Row],[Supplier ID]],Suppliers!$A$2:$D$6,4,FALSE)</f>
        <v>21</v>
      </c>
      <c r="M587">
        <f>Table1[[#This Row],[Actual Delivery]]-Table1[[#This Row],[Order Date]]-Table1[[#This Row],[std Lead time]]</f>
        <v>5</v>
      </c>
      <c r="N587">
        <f>IF(AND(Table1[[#This Row],[Status]] = "Delivered", Table1[[#This Row],[Actual Delivery]] &lt;= Table1[[#This Row],[Promised Delivery]],Table1[[#This Row],[FillRate]]&gt;=0.95),1,0)</f>
        <v>0</v>
      </c>
      <c r="O587" t="str">
        <f>VLOOKUP(B587,Products!$A$2:$D$9,3,FALSE)</f>
        <v>Finished Goods</v>
      </c>
    </row>
    <row r="588" spans="1:15" x14ac:dyDescent="0.25">
      <c r="A588" s="14" t="s">
        <v>616</v>
      </c>
      <c r="B588" s="2" t="s">
        <v>22</v>
      </c>
      <c r="C588" s="2" t="s">
        <v>26</v>
      </c>
      <c r="D588" s="2" t="s">
        <v>23</v>
      </c>
      <c r="E588" s="3">
        <v>45643</v>
      </c>
      <c r="F588" s="20">
        <v>45650</v>
      </c>
      <c r="G588" s="20">
        <v>45650</v>
      </c>
      <c r="H588" s="2">
        <v>506</v>
      </c>
      <c r="I588" s="2">
        <v>471</v>
      </c>
      <c r="J588" s="4" t="s">
        <v>14</v>
      </c>
      <c r="K588">
        <f>Table1[[#This Row],[Delivered Qty]]/Table1[[#This Row],[Ordered Qty]]</f>
        <v>0.93083003952569165</v>
      </c>
      <c r="L588">
        <f>VLOOKUP(Table1[[#This Row],[Supplier ID]],Suppliers!$A$2:$D$6,4,FALSE)</f>
        <v>7</v>
      </c>
      <c r="M588">
        <f>Table1[[#This Row],[Actual Delivery]]-Table1[[#This Row],[Order Date]]-Table1[[#This Row],[std Lead time]]</f>
        <v>0</v>
      </c>
      <c r="N588">
        <f>IF(AND(Table1[[#This Row],[Status]] = "Delivered", Table1[[#This Row],[Actual Delivery]] &lt;= Table1[[#This Row],[Promised Delivery]],Table1[[#This Row],[FillRate]]&gt;=0.95),1,0)</f>
        <v>0</v>
      </c>
      <c r="O588" t="str">
        <f>VLOOKUP(B588,Products!$A$2:$D$9,3,FALSE)</f>
        <v>Finished Goods</v>
      </c>
    </row>
    <row r="589" spans="1:15" x14ac:dyDescent="0.25">
      <c r="A589" s="15" t="s">
        <v>617</v>
      </c>
      <c r="B589" s="5" t="s">
        <v>20</v>
      </c>
      <c r="C589" s="5" t="s">
        <v>31</v>
      </c>
      <c r="D589" s="5" t="s">
        <v>28</v>
      </c>
      <c r="E589" s="6">
        <v>45648</v>
      </c>
      <c r="F589" s="21">
        <v>45653</v>
      </c>
      <c r="G589" s="21">
        <v>45668</v>
      </c>
      <c r="H589" s="5">
        <v>384</v>
      </c>
      <c r="I589" s="5">
        <v>354</v>
      </c>
      <c r="J589" s="7" t="s">
        <v>564</v>
      </c>
      <c r="K589">
        <f>Table1[[#This Row],[Delivered Qty]]/Table1[[#This Row],[Ordered Qty]]</f>
        <v>0.921875</v>
      </c>
      <c r="L589">
        <f>VLOOKUP(Table1[[#This Row],[Supplier ID]],Suppliers!$A$2:$D$6,4,FALSE)</f>
        <v>5</v>
      </c>
      <c r="M589">
        <f>Table1[[#This Row],[Actual Delivery]]-Table1[[#This Row],[Order Date]]-Table1[[#This Row],[std Lead time]]</f>
        <v>15</v>
      </c>
      <c r="N589">
        <f>IF(AND(Table1[[#This Row],[Status]] = "Delivered", Table1[[#This Row],[Actual Delivery]] &lt;= Table1[[#This Row],[Promised Delivery]],Table1[[#This Row],[FillRate]]&gt;=0.95),1,0)</f>
        <v>0</v>
      </c>
      <c r="O589" t="str">
        <f>VLOOKUP(B589,Products!$A$2:$D$9,3,FALSE)</f>
        <v>Raw Material</v>
      </c>
    </row>
    <row r="590" spans="1:15" x14ac:dyDescent="0.25">
      <c r="A590" s="14" t="s">
        <v>618</v>
      </c>
      <c r="B590" s="2" t="s">
        <v>37</v>
      </c>
      <c r="C590" s="2" t="s">
        <v>57</v>
      </c>
      <c r="D590" s="2" t="s">
        <v>13</v>
      </c>
      <c r="E590" s="3">
        <v>45631</v>
      </c>
      <c r="F590" s="20">
        <v>45652</v>
      </c>
      <c r="G590" s="20">
        <v>45652</v>
      </c>
      <c r="H590" s="2">
        <v>1726</v>
      </c>
      <c r="I590" s="2">
        <v>1561</v>
      </c>
      <c r="J590" s="4" t="s">
        <v>14</v>
      </c>
      <c r="K590">
        <f>Table1[[#This Row],[Delivered Qty]]/Table1[[#This Row],[Ordered Qty]]</f>
        <v>0.90440324449594434</v>
      </c>
      <c r="L590">
        <f>VLOOKUP(Table1[[#This Row],[Supplier ID]],Suppliers!$A$2:$D$6,4,FALSE)</f>
        <v>21</v>
      </c>
      <c r="M590">
        <f>Table1[[#This Row],[Actual Delivery]]-Table1[[#This Row],[Order Date]]-Table1[[#This Row],[std Lead time]]</f>
        <v>0</v>
      </c>
      <c r="N590">
        <f>IF(AND(Table1[[#This Row],[Status]] = "Delivered", Table1[[#This Row],[Actual Delivery]] &lt;= Table1[[#This Row],[Promised Delivery]],Table1[[#This Row],[FillRate]]&gt;=0.95),1,0)</f>
        <v>0</v>
      </c>
      <c r="O590" t="str">
        <f>VLOOKUP(B590,Products!$A$2:$D$9,3,FALSE)</f>
        <v>Raw Material</v>
      </c>
    </row>
    <row r="591" spans="1:15" x14ac:dyDescent="0.25">
      <c r="A591" s="15" t="s">
        <v>619</v>
      </c>
      <c r="B591" s="5" t="s">
        <v>22</v>
      </c>
      <c r="C591" s="5" t="s">
        <v>12</v>
      </c>
      <c r="D591" s="5" t="s">
        <v>28</v>
      </c>
      <c r="E591" s="6">
        <v>45639</v>
      </c>
      <c r="F591" s="21">
        <v>45657</v>
      </c>
      <c r="G591" s="21">
        <v>45659</v>
      </c>
      <c r="H591" s="5">
        <v>1760</v>
      </c>
      <c r="I591" s="5">
        <v>1607</v>
      </c>
      <c r="J591" s="8" t="s">
        <v>577</v>
      </c>
      <c r="K591">
        <f>Table1[[#This Row],[Delivered Qty]]/Table1[[#This Row],[Ordered Qty]]</f>
        <v>0.91306818181818183</v>
      </c>
      <c r="L591">
        <f>VLOOKUP(Table1[[#This Row],[Supplier ID]],Suppliers!$A$2:$D$6,4,FALSE)</f>
        <v>18</v>
      </c>
      <c r="M591">
        <f>Table1[[#This Row],[Actual Delivery]]-Table1[[#This Row],[Order Date]]-Table1[[#This Row],[std Lead time]]</f>
        <v>2</v>
      </c>
      <c r="N591">
        <f>IF(AND(Table1[[#This Row],[Status]] = "Delivered", Table1[[#This Row],[Actual Delivery]] &lt;= Table1[[#This Row],[Promised Delivery]],Table1[[#This Row],[FillRate]]&gt;=0.95),1,0)</f>
        <v>0</v>
      </c>
      <c r="O591" t="str">
        <f>VLOOKUP(B591,Products!$A$2:$D$9,3,FALSE)</f>
        <v>Finished Goods</v>
      </c>
    </row>
    <row r="592" spans="1:15" x14ac:dyDescent="0.25">
      <c r="A592" s="14" t="s">
        <v>620</v>
      </c>
      <c r="B592" s="2" t="s">
        <v>20</v>
      </c>
      <c r="C592" s="2" t="s">
        <v>57</v>
      </c>
      <c r="D592" s="2" t="s">
        <v>18</v>
      </c>
      <c r="E592" s="3">
        <v>45647</v>
      </c>
      <c r="F592" s="20">
        <v>45668</v>
      </c>
      <c r="G592" s="20">
        <v>45668</v>
      </c>
      <c r="H592" s="2">
        <v>1273</v>
      </c>
      <c r="I592" s="2">
        <v>1177</v>
      </c>
      <c r="J592" s="7" t="s">
        <v>564</v>
      </c>
      <c r="K592">
        <f>Table1[[#This Row],[Delivered Qty]]/Table1[[#This Row],[Ordered Qty]]</f>
        <v>0.92458758837391986</v>
      </c>
      <c r="L592">
        <f>VLOOKUP(Table1[[#This Row],[Supplier ID]],Suppliers!$A$2:$D$6,4,FALSE)</f>
        <v>21</v>
      </c>
      <c r="M592">
        <f>Table1[[#This Row],[Actual Delivery]]-Table1[[#This Row],[Order Date]]-Table1[[#This Row],[std Lead time]]</f>
        <v>0</v>
      </c>
      <c r="N592">
        <f>IF(AND(Table1[[#This Row],[Status]] = "Delivered", Table1[[#This Row],[Actual Delivery]] &lt;= Table1[[#This Row],[Promised Delivery]],Table1[[#This Row],[FillRate]]&gt;=0.95),1,0)</f>
        <v>0</v>
      </c>
      <c r="O592" t="str">
        <f>VLOOKUP(B592,Products!$A$2:$D$9,3,FALSE)</f>
        <v>Raw Material</v>
      </c>
    </row>
    <row r="593" spans="1:15" x14ac:dyDescent="0.25">
      <c r="A593" s="15" t="s">
        <v>621</v>
      </c>
      <c r="B593" s="5" t="s">
        <v>16</v>
      </c>
      <c r="C593" s="5" t="s">
        <v>12</v>
      </c>
      <c r="D593" s="5" t="s">
        <v>18</v>
      </c>
      <c r="E593" s="6">
        <v>45637</v>
      </c>
      <c r="F593" s="21">
        <v>45655</v>
      </c>
      <c r="G593" s="21">
        <v>45654</v>
      </c>
      <c r="H593" s="5">
        <v>1067</v>
      </c>
      <c r="I593" s="5">
        <v>918</v>
      </c>
      <c r="J593" s="4" t="s">
        <v>14</v>
      </c>
      <c r="K593">
        <f>Table1[[#This Row],[Delivered Qty]]/Table1[[#This Row],[Ordered Qty]]</f>
        <v>0.86035613870665417</v>
      </c>
      <c r="L593">
        <f>VLOOKUP(Table1[[#This Row],[Supplier ID]],Suppliers!$A$2:$D$6,4,FALSE)</f>
        <v>18</v>
      </c>
      <c r="M593">
        <f>Table1[[#This Row],[Actual Delivery]]-Table1[[#This Row],[Order Date]]-Table1[[#This Row],[std Lead time]]</f>
        <v>-1</v>
      </c>
      <c r="N593">
        <f>IF(AND(Table1[[#This Row],[Status]] = "Delivered", Table1[[#This Row],[Actual Delivery]] &lt;= Table1[[#This Row],[Promised Delivery]],Table1[[#This Row],[FillRate]]&gt;=0.95),1,0)</f>
        <v>0</v>
      </c>
      <c r="O593" t="str">
        <f>VLOOKUP(B593,Products!$A$2:$D$9,3,FALSE)</f>
        <v>Packaging</v>
      </c>
    </row>
    <row r="594" spans="1:15" x14ac:dyDescent="0.25">
      <c r="A594" s="14" t="s">
        <v>622</v>
      </c>
      <c r="B594" s="2" t="s">
        <v>20</v>
      </c>
      <c r="C594" s="2" t="s">
        <v>12</v>
      </c>
      <c r="D594" s="2" t="s">
        <v>23</v>
      </c>
      <c r="E594" s="3">
        <v>45646</v>
      </c>
      <c r="F594" s="20">
        <v>45664</v>
      </c>
      <c r="G594" s="20">
        <v>45666</v>
      </c>
      <c r="H594" s="2">
        <v>916</v>
      </c>
      <c r="I594" s="2">
        <v>880</v>
      </c>
      <c r="J594" s="7" t="s">
        <v>564</v>
      </c>
      <c r="K594">
        <f>Table1[[#This Row],[Delivered Qty]]/Table1[[#This Row],[Ordered Qty]]</f>
        <v>0.9606986899563319</v>
      </c>
      <c r="L594">
        <f>VLOOKUP(Table1[[#This Row],[Supplier ID]],Suppliers!$A$2:$D$6,4,FALSE)</f>
        <v>18</v>
      </c>
      <c r="M594">
        <f>Table1[[#This Row],[Actual Delivery]]-Table1[[#This Row],[Order Date]]-Table1[[#This Row],[std Lead time]]</f>
        <v>2</v>
      </c>
      <c r="N594">
        <f>IF(AND(Table1[[#This Row],[Status]] = "Delivered", Table1[[#This Row],[Actual Delivery]] &lt;= Table1[[#This Row],[Promised Delivery]],Table1[[#This Row],[FillRate]]&gt;=0.95),1,0)</f>
        <v>0</v>
      </c>
      <c r="O594" t="str">
        <f>VLOOKUP(B594,Products!$A$2:$D$9,3,FALSE)</f>
        <v>Raw Material</v>
      </c>
    </row>
    <row r="595" spans="1:15" x14ac:dyDescent="0.25">
      <c r="A595" s="15" t="s">
        <v>623</v>
      </c>
      <c r="B595" s="5" t="s">
        <v>44</v>
      </c>
      <c r="C595" s="5" t="s">
        <v>17</v>
      </c>
      <c r="D595" s="5" t="s">
        <v>13</v>
      </c>
      <c r="E595" s="6">
        <v>45641</v>
      </c>
      <c r="F595" s="21">
        <v>45647</v>
      </c>
      <c r="G595" s="21">
        <v>45649</v>
      </c>
      <c r="H595" s="5">
        <v>608</v>
      </c>
      <c r="I595" s="5">
        <v>588</v>
      </c>
      <c r="J595" s="4" t="s">
        <v>14</v>
      </c>
      <c r="K595">
        <f>Table1[[#This Row],[Delivered Qty]]/Table1[[#This Row],[Ordered Qty]]</f>
        <v>0.96710526315789469</v>
      </c>
      <c r="L595">
        <f>VLOOKUP(Table1[[#This Row],[Supplier ID]],Suppliers!$A$2:$D$6,4,FALSE)</f>
        <v>6</v>
      </c>
      <c r="M595">
        <f>Table1[[#This Row],[Actual Delivery]]-Table1[[#This Row],[Order Date]]-Table1[[#This Row],[std Lead time]]</f>
        <v>2</v>
      </c>
      <c r="N595">
        <f>IF(AND(Table1[[#This Row],[Status]] = "Delivered", Table1[[#This Row],[Actual Delivery]] &lt;= Table1[[#This Row],[Promised Delivery]],Table1[[#This Row],[FillRate]]&gt;=0.95),1,0)</f>
        <v>0</v>
      </c>
      <c r="O595" t="str">
        <f>VLOOKUP(B595,Products!$A$2:$D$9,3,FALSE)</f>
        <v>Finished Goods</v>
      </c>
    </row>
    <row r="596" spans="1:15" x14ac:dyDescent="0.25">
      <c r="A596" s="14" t="s">
        <v>624</v>
      </c>
      <c r="B596" s="2" t="s">
        <v>33</v>
      </c>
      <c r="C596" s="2" t="s">
        <v>26</v>
      </c>
      <c r="D596" s="2" t="s">
        <v>28</v>
      </c>
      <c r="E596" s="3">
        <v>45650</v>
      </c>
      <c r="F596" s="20">
        <v>45657</v>
      </c>
      <c r="G596" s="20">
        <v>45657</v>
      </c>
      <c r="H596" s="2">
        <v>502</v>
      </c>
      <c r="I596" s="2">
        <v>495</v>
      </c>
      <c r="J596" s="4" t="s">
        <v>14</v>
      </c>
      <c r="K596">
        <f>Table1[[#This Row],[Delivered Qty]]/Table1[[#This Row],[Ordered Qty]]</f>
        <v>0.98605577689243029</v>
      </c>
      <c r="L596">
        <f>VLOOKUP(Table1[[#This Row],[Supplier ID]],Suppliers!$A$2:$D$6,4,FALSE)</f>
        <v>7</v>
      </c>
      <c r="M596">
        <f>Table1[[#This Row],[Actual Delivery]]-Table1[[#This Row],[Order Date]]-Table1[[#This Row],[std Lead time]]</f>
        <v>0</v>
      </c>
      <c r="N596">
        <f>IF(AND(Table1[[#This Row],[Status]] = "Delivered", Table1[[#This Row],[Actual Delivery]] &lt;= Table1[[#This Row],[Promised Delivery]],Table1[[#This Row],[FillRate]]&gt;=0.95),1,0)</f>
        <v>1</v>
      </c>
      <c r="O596" t="str">
        <f>VLOOKUP(B596,Products!$A$2:$D$9,3,FALSE)</f>
        <v>Raw Material</v>
      </c>
    </row>
    <row r="597" spans="1:15" x14ac:dyDescent="0.25">
      <c r="A597" s="15" t="s">
        <v>625</v>
      </c>
      <c r="B597" s="5" t="s">
        <v>37</v>
      </c>
      <c r="C597" s="5" t="s">
        <v>26</v>
      </c>
      <c r="D597" s="5" t="s">
        <v>23</v>
      </c>
      <c r="E597" s="6">
        <v>45649</v>
      </c>
      <c r="F597" s="21">
        <v>45656</v>
      </c>
      <c r="G597" s="21">
        <v>45655</v>
      </c>
      <c r="H597" s="5">
        <v>246</v>
      </c>
      <c r="I597" s="5">
        <v>229</v>
      </c>
      <c r="J597" s="4" t="s">
        <v>14</v>
      </c>
      <c r="K597">
        <f>Table1[[#This Row],[Delivered Qty]]/Table1[[#This Row],[Ordered Qty]]</f>
        <v>0.93089430894308944</v>
      </c>
      <c r="L597">
        <f>VLOOKUP(Table1[[#This Row],[Supplier ID]],Suppliers!$A$2:$D$6,4,FALSE)</f>
        <v>7</v>
      </c>
      <c r="M597">
        <f>Table1[[#This Row],[Actual Delivery]]-Table1[[#This Row],[Order Date]]-Table1[[#This Row],[std Lead time]]</f>
        <v>-1</v>
      </c>
      <c r="N597">
        <f>IF(AND(Table1[[#This Row],[Status]] = "Delivered", Table1[[#This Row],[Actual Delivery]] &lt;= Table1[[#This Row],[Promised Delivery]],Table1[[#This Row],[FillRate]]&gt;=0.95),1,0)</f>
        <v>0</v>
      </c>
      <c r="O597" t="str">
        <f>VLOOKUP(B597,Products!$A$2:$D$9,3,FALSE)</f>
        <v>Raw Material</v>
      </c>
    </row>
    <row r="598" spans="1:15" x14ac:dyDescent="0.25">
      <c r="A598" s="14" t="s">
        <v>626</v>
      </c>
      <c r="B598" s="2" t="s">
        <v>20</v>
      </c>
      <c r="C598" s="2" t="s">
        <v>31</v>
      </c>
      <c r="D598" s="2" t="s">
        <v>23</v>
      </c>
      <c r="E598" s="3">
        <v>45644</v>
      </c>
      <c r="F598" s="20">
        <v>45649</v>
      </c>
      <c r="G598" s="20">
        <v>45647</v>
      </c>
      <c r="H598" s="2">
        <v>1623</v>
      </c>
      <c r="I598" s="2">
        <v>1574</v>
      </c>
      <c r="J598" s="4" t="s">
        <v>14</v>
      </c>
      <c r="K598">
        <f>Table1[[#This Row],[Delivered Qty]]/Table1[[#This Row],[Ordered Qty]]</f>
        <v>0.96980899568699941</v>
      </c>
      <c r="L598">
        <f>VLOOKUP(Table1[[#This Row],[Supplier ID]],Suppliers!$A$2:$D$6,4,FALSE)</f>
        <v>5</v>
      </c>
      <c r="M598">
        <f>Table1[[#This Row],[Actual Delivery]]-Table1[[#This Row],[Order Date]]-Table1[[#This Row],[std Lead time]]</f>
        <v>-2</v>
      </c>
      <c r="N598">
        <f>IF(AND(Table1[[#This Row],[Status]] = "Delivered", Table1[[#This Row],[Actual Delivery]] &lt;= Table1[[#This Row],[Promised Delivery]],Table1[[#This Row],[FillRate]]&gt;=0.95),1,0)</f>
        <v>1</v>
      </c>
      <c r="O598" t="str">
        <f>VLOOKUP(B598,Products!$A$2:$D$9,3,FALSE)</f>
        <v>Raw Material</v>
      </c>
    </row>
    <row r="599" spans="1:15" x14ac:dyDescent="0.25">
      <c r="A599" s="15" t="s">
        <v>627</v>
      </c>
      <c r="B599" s="5" t="s">
        <v>11</v>
      </c>
      <c r="C599" s="5" t="s">
        <v>57</v>
      </c>
      <c r="D599" s="5" t="s">
        <v>28</v>
      </c>
      <c r="E599" s="6">
        <v>45635</v>
      </c>
      <c r="F599" s="21">
        <v>45656</v>
      </c>
      <c r="G599" s="21">
        <v>45654</v>
      </c>
      <c r="H599" s="5">
        <v>1816</v>
      </c>
      <c r="I599" s="5">
        <v>1694</v>
      </c>
      <c r="J599" s="4" t="s">
        <v>14</v>
      </c>
      <c r="K599">
        <f>Table1[[#This Row],[Delivered Qty]]/Table1[[#This Row],[Ordered Qty]]</f>
        <v>0.93281938325991187</v>
      </c>
      <c r="L599">
        <f>VLOOKUP(Table1[[#This Row],[Supplier ID]],Suppliers!$A$2:$D$6,4,FALSE)</f>
        <v>21</v>
      </c>
      <c r="M599">
        <f>Table1[[#This Row],[Actual Delivery]]-Table1[[#This Row],[Order Date]]-Table1[[#This Row],[std Lead time]]</f>
        <v>-2</v>
      </c>
      <c r="N599">
        <f>IF(AND(Table1[[#This Row],[Status]] = "Delivered", Table1[[#This Row],[Actual Delivery]] &lt;= Table1[[#This Row],[Promised Delivery]],Table1[[#This Row],[FillRate]]&gt;=0.95),1,0)</f>
        <v>0</v>
      </c>
      <c r="O599" t="str">
        <f>VLOOKUP(B599,Products!$A$2:$D$9,3,FALSE)</f>
        <v>Packaging</v>
      </c>
    </row>
    <row r="600" spans="1:15" x14ac:dyDescent="0.25">
      <c r="A600" s="14" t="s">
        <v>628</v>
      </c>
      <c r="B600" s="2" t="s">
        <v>37</v>
      </c>
      <c r="C600" s="2" t="s">
        <v>26</v>
      </c>
      <c r="D600" s="2" t="s">
        <v>18</v>
      </c>
      <c r="E600" s="3">
        <v>45647</v>
      </c>
      <c r="F600" s="20">
        <v>45654</v>
      </c>
      <c r="G600" s="20">
        <v>45654</v>
      </c>
      <c r="H600" s="2">
        <v>755</v>
      </c>
      <c r="I600" s="2">
        <v>729</v>
      </c>
      <c r="J600" s="4" t="s">
        <v>14</v>
      </c>
      <c r="K600">
        <f>Table1[[#This Row],[Delivered Qty]]/Table1[[#This Row],[Ordered Qty]]</f>
        <v>0.96556291390728477</v>
      </c>
      <c r="L600">
        <f>VLOOKUP(Table1[[#This Row],[Supplier ID]],Suppliers!$A$2:$D$6,4,FALSE)</f>
        <v>7</v>
      </c>
      <c r="M600">
        <f>Table1[[#This Row],[Actual Delivery]]-Table1[[#This Row],[Order Date]]-Table1[[#This Row],[std Lead time]]</f>
        <v>0</v>
      </c>
      <c r="N600">
        <f>IF(AND(Table1[[#This Row],[Status]] = "Delivered", Table1[[#This Row],[Actual Delivery]] &lt;= Table1[[#This Row],[Promised Delivery]],Table1[[#This Row],[FillRate]]&gt;=0.95),1,0)</f>
        <v>1</v>
      </c>
      <c r="O600" t="str">
        <f>VLOOKUP(B600,Products!$A$2:$D$9,3,FALSE)</f>
        <v>Raw Material</v>
      </c>
    </row>
    <row r="601" spans="1:15" x14ac:dyDescent="0.25">
      <c r="A601" s="15" t="s">
        <v>629</v>
      </c>
      <c r="B601" s="5" t="s">
        <v>30</v>
      </c>
      <c r="C601" s="5" t="s">
        <v>26</v>
      </c>
      <c r="D601" s="5" t="s">
        <v>28</v>
      </c>
      <c r="E601" s="6">
        <v>45636</v>
      </c>
      <c r="F601" s="21">
        <v>45643</v>
      </c>
      <c r="G601" s="21">
        <v>45642</v>
      </c>
      <c r="H601" s="5">
        <v>1241</v>
      </c>
      <c r="I601" s="5">
        <v>1238</v>
      </c>
      <c r="J601" s="4" t="s">
        <v>14</v>
      </c>
      <c r="K601">
        <f>Table1[[#This Row],[Delivered Qty]]/Table1[[#This Row],[Ordered Qty]]</f>
        <v>0.99758259468170829</v>
      </c>
      <c r="L601">
        <f>VLOOKUP(Table1[[#This Row],[Supplier ID]],Suppliers!$A$2:$D$6,4,FALSE)</f>
        <v>7</v>
      </c>
      <c r="M601">
        <f>Table1[[#This Row],[Actual Delivery]]-Table1[[#This Row],[Order Date]]-Table1[[#This Row],[std Lead time]]</f>
        <v>-1</v>
      </c>
      <c r="N601">
        <f>IF(AND(Table1[[#This Row],[Status]] = "Delivered", Table1[[#This Row],[Actual Delivery]] &lt;= Table1[[#This Row],[Promised Delivery]],Table1[[#This Row],[FillRate]]&gt;=0.95),1,0)</f>
        <v>1</v>
      </c>
      <c r="O601" t="str">
        <f>VLOOKUP(B601,Products!$A$2:$D$9,3,FALSE)</f>
        <v>Finished Goods</v>
      </c>
    </row>
    <row r="602" spans="1:15" x14ac:dyDescent="0.25">
      <c r="A602" s="14" t="s">
        <v>630</v>
      </c>
      <c r="B602" s="2" t="s">
        <v>16</v>
      </c>
      <c r="C602" s="2" t="s">
        <v>12</v>
      </c>
      <c r="D602" s="2" t="s">
        <v>18</v>
      </c>
      <c r="E602" s="3">
        <v>45654</v>
      </c>
      <c r="F602" s="20">
        <v>45672</v>
      </c>
      <c r="G602" s="20">
        <v>45672</v>
      </c>
      <c r="H602" s="2">
        <v>1137</v>
      </c>
      <c r="I602" s="2">
        <v>1027</v>
      </c>
      <c r="J602" s="7" t="s">
        <v>564</v>
      </c>
      <c r="K602">
        <f>Table1[[#This Row],[Delivered Qty]]/Table1[[#This Row],[Ordered Qty]]</f>
        <v>0.90325417766051008</v>
      </c>
      <c r="L602">
        <f>VLOOKUP(Table1[[#This Row],[Supplier ID]],Suppliers!$A$2:$D$6,4,FALSE)</f>
        <v>18</v>
      </c>
      <c r="M602">
        <f>Table1[[#This Row],[Actual Delivery]]-Table1[[#This Row],[Order Date]]-Table1[[#This Row],[std Lead time]]</f>
        <v>0</v>
      </c>
      <c r="N602">
        <f>IF(AND(Table1[[#This Row],[Status]] = "Delivered", Table1[[#This Row],[Actual Delivery]] &lt;= Table1[[#This Row],[Promised Delivery]],Table1[[#This Row],[FillRate]]&gt;=0.95),1,0)</f>
        <v>0</v>
      </c>
      <c r="O602" t="str">
        <f>VLOOKUP(B602,Products!$A$2:$D$9,3,FALSE)</f>
        <v>Packaging</v>
      </c>
    </row>
    <row r="603" spans="1:15" x14ac:dyDescent="0.25">
      <c r="A603" s="15" t="s">
        <v>631</v>
      </c>
      <c r="B603" s="5" t="s">
        <v>11</v>
      </c>
      <c r="C603" s="5" t="s">
        <v>26</v>
      </c>
      <c r="D603" s="5" t="s">
        <v>13</v>
      </c>
      <c r="E603" s="6">
        <v>45643</v>
      </c>
      <c r="F603" s="21">
        <v>45650</v>
      </c>
      <c r="G603" s="21">
        <v>45649</v>
      </c>
      <c r="H603" s="5">
        <v>1724</v>
      </c>
      <c r="I603" s="5">
        <v>1404</v>
      </c>
      <c r="J603" s="4" t="s">
        <v>14</v>
      </c>
      <c r="K603">
        <f>Table1[[#This Row],[Delivered Qty]]/Table1[[#This Row],[Ordered Qty]]</f>
        <v>0.81438515081206497</v>
      </c>
      <c r="L603">
        <f>VLOOKUP(Table1[[#This Row],[Supplier ID]],Suppliers!$A$2:$D$6,4,FALSE)</f>
        <v>7</v>
      </c>
      <c r="M603">
        <f>Table1[[#This Row],[Actual Delivery]]-Table1[[#This Row],[Order Date]]-Table1[[#This Row],[std Lead time]]</f>
        <v>-1</v>
      </c>
      <c r="N603">
        <f>IF(AND(Table1[[#This Row],[Status]] = "Delivered", Table1[[#This Row],[Actual Delivery]] &lt;= Table1[[#This Row],[Promised Delivery]],Table1[[#This Row],[FillRate]]&gt;=0.95),1,0)</f>
        <v>0</v>
      </c>
      <c r="O603" t="str">
        <f>VLOOKUP(B603,Products!$A$2:$D$9,3,FALSE)</f>
        <v>Packaging</v>
      </c>
    </row>
    <row r="604" spans="1:15" x14ac:dyDescent="0.25">
      <c r="A604" s="14" t="s">
        <v>632</v>
      </c>
      <c r="B604" s="2" t="s">
        <v>30</v>
      </c>
      <c r="C604" s="2" t="s">
        <v>12</v>
      </c>
      <c r="D604" s="2" t="s">
        <v>23</v>
      </c>
      <c r="E604" s="3">
        <v>45647</v>
      </c>
      <c r="F604" s="20">
        <v>45665</v>
      </c>
      <c r="G604" s="20">
        <v>45665</v>
      </c>
      <c r="H604" s="2">
        <v>764</v>
      </c>
      <c r="I604" s="2">
        <v>749</v>
      </c>
      <c r="J604" s="7" t="s">
        <v>564</v>
      </c>
      <c r="K604">
        <f>Table1[[#This Row],[Delivered Qty]]/Table1[[#This Row],[Ordered Qty]]</f>
        <v>0.98036649214659688</v>
      </c>
      <c r="L604">
        <f>VLOOKUP(Table1[[#This Row],[Supplier ID]],Suppliers!$A$2:$D$6,4,FALSE)</f>
        <v>18</v>
      </c>
      <c r="M604">
        <f>Table1[[#This Row],[Actual Delivery]]-Table1[[#This Row],[Order Date]]-Table1[[#This Row],[std Lead time]]</f>
        <v>0</v>
      </c>
      <c r="N604">
        <f>IF(AND(Table1[[#This Row],[Status]] = "Delivered", Table1[[#This Row],[Actual Delivery]] &lt;= Table1[[#This Row],[Promised Delivery]],Table1[[#This Row],[FillRate]]&gt;=0.95),1,0)</f>
        <v>0</v>
      </c>
      <c r="O604" t="str">
        <f>VLOOKUP(B604,Products!$A$2:$D$9,3,FALSE)</f>
        <v>Finished Goods</v>
      </c>
    </row>
    <row r="605" spans="1:15" x14ac:dyDescent="0.25">
      <c r="A605" s="15" t="s">
        <v>633</v>
      </c>
      <c r="B605" s="5" t="s">
        <v>37</v>
      </c>
      <c r="C605" s="5" t="s">
        <v>57</v>
      </c>
      <c r="D605" s="5" t="s">
        <v>28</v>
      </c>
      <c r="E605" s="6">
        <v>45644</v>
      </c>
      <c r="F605" s="21">
        <v>45665</v>
      </c>
      <c r="G605" s="21">
        <v>45664</v>
      </c>
      <c r="H605" s="5">
        <v>1004</v>
      </c>
      <c r="I605" s="5">
        <v>969</v>
      </c>
      <c r="J605" s="7" t="s">
        <v>564</v>
      </c>
      <c r="K605">
        <f>Table1[[#This Row],[Delivered Qty]]/Table1[[#This Row],[Ordered Qty]]</f>
        <v>0.96513944223107573</v>
      </c>
      <c r="L605">
        <f>VLOOKUP(Table1[[#This Row],[Supplier ID]],Suppliers!$A$2:$D$6,4,FALSE)</f>
        <v>21</v>
      </c>
      <c r="M605">
        <f>Table1[[#This Row],[Actual Delivery]]-Table1[[#This Row],[Order Date]]-Table1[[#This Row],[std Lead time]]</f>
        <v>-1</v>
      </c>
      <c r="N605">
        <f>IF(AND(Table1[[#This Row],[Status]] = "Delivered", Table1[[#This Row],[Actual Delivery]] &lt;= Table1[[#This Row],[Promised Delivery]],Table1[[#This Row],[FillRate]]&gt;=0.95),1,0)</f>
        <v>0</v>
      </c>
      <c r="O605" t="str">
        <f>VLOOKUP(B605,Products!$A$2:$D$9,3,FALSE)</f>
        <v>Raw Material</v>
      </c>
    </row>
    <row r="606" spans="1:15" x14ac:dyDescent="0.25">
      <c r="A606" s="14" t="s">
        <v>634</v>
      </c>
      <c r="B606" s="2" t="s">
        <v>16</v>
      </c>
      <c r="C606" s="2" t="s">
        <v>57</v>
      </c>
      <c r="D606" s="2" t="s">
        <v>13</v>
      </c>
      <c r="E606" s="3">
        <v>45640</v>
      </c>
      <c r="F606" s="20">
        <v>45661</v>
      </c>
      <c r="G606" s="20">
        <v>45660</v>
      </c>
      <c r="H606" s="2">
        <v>839</v>
      </c>
      <c r="I606" s="2">
        <v>822</v>
      </c>
      <c r="J606" s="8" t="s">
        <v>577</v>
      </c>
      <c r="K606">
        <f>Table1[[#This Row],[Delivered Qty]]/Table1[[#This Row],[Ordered Qty]]</f>
        <v>0.97973778307508941</v>
      </c>
      <c r="L606">
        <f>VLOOKUP(Table1[[#This Row],[Supplier ID]],Suppliers!$A$2:$D$6,4,FALSE)</f>
        <v>21</v>
      </c>
      <c r="M606">
        <f>Table1[[#This Row],[Actual Delivery]]-Table1[[#This Row],[Order Date]]-Table1[[#This Row],[std Lead time]]</f>
        <v>-1</v>
      </c>
      <c r="N606">
        <f>IF(AND(Table1[[#This Row],[Status]] = "Delivered", Table1[[#This Row],[Actual Delivery]] &lt;= Table1[[#This Row],[Promised Delivery]],Table1[[#This Row],[FillRate]]&gt;=0.95),1,0)</f>
        <v>0</v>
      </c>
      <c r="O606" t="str">
        <f>VLOOKUP(B606,Products!$A$2:$D$9,3,FALSE)</f>
        <v>Packaging</v>
      </c>
    </row>
    <row r="607" spans="1:15" x14ac:dyDescent="0.25">
      <c r="A607" s="15" t="s">
        <v>635</v>
      </c>
      <c r="B607" s="5" t="s">
        <v>30</v>
      </c>
      <c r="C607" s="5" t="s">
        <v>57</v>
      </c>
      <c r="D607" s="5" t="s">
        <v>13</v>
      </c>
      <c r="E607" s="6">
        <v>45633</v>
      </c>
      <c r="F607" s="21">
        <v>45654</v>
      </c>
      <c r="G607" s="21">
        <v>45654</v>
      </c>
      <c r="H607" s="5">
        <v>1838</v>
      </c>
      <c r="I607" s="5">
        <v>1691</v>
      </c>
      <c r="J607" s="4" t="s">
        <v>14</v>
      </c>
      <c r="K607">
        <f>Table1[[#This Row],[Delivered Qty]]/Table1[[#This Row],[Ordered Qty]]</f>
        <v>0.92002176278563652</v>
      </c>
      <c r="L607">
        <f>VLOOKUP(Table1[[#This Row],[Supplier ID]],Suppliers!$A$2:$D$6,4,FALSE)</f>
        <v>21</v>
      </c>
      <c r="M607">
        <f>Table1[[#This Row],[Actual Delivery]]-Table1[[#This Row],[Order Date]]-Table1[[#This Row],[std Lead time]]</f>
        <v>0</v>
      </c>
      <c r="N607">
        <f>IF(AND(Table1[[#This Row],[Status]] = "Delivered", Table1[[#This Row],[Actual Delivery]] &lt;= Table1[[#This Row],[Promised Delivery]],Table1[[#This Row],[FillRate]]&gt;=0.95),1,0)</f>
        <v>0</v>
      </c>
      <c r="O607" t="str">
        <f>VLOOKUP(B607,Products!$A$2:$D$9,3,FALSE)</f>
        <v>Finished Goods</v>
      </c>
    </row>
    <row r="608" spans="1:15" x14ac:dyDescent="0.25">
      <c r="A608" s="14" t="s">
        <v>636</v>
      </c>
      <c r="B608" s="2" t="s">
        <v>33</v>
      </c>
      <c r="C608" s="2" t="s">
        <v>12</v>
      </c>
      <c r="D608" s="2" t="s">
        <v>13</v>
      </c>
      <c r="E608" s="3">
        <v>45640</v>
      </c>
      <c r="F608" s="20">
        <v>45658</v>
      </c>
      <c r="G608" s="20">
        <v>45658</v>
      </c>
      <c r="H608" s="2">
        <v>523</v>
      </c>
      <c r="I608" s="2">
        <v>487</v>
      </c>
      <c r="J608" s="8" t="s">
        <v>577</v>
      </c>
      <c r="K608">
        <f>Table1[[#This Row],[Delivered Qty]]/Table1[[#This Row],[Ordered Qty]]</f>
        <v>0.93116634799235176</v>
      </c>
      <c r="L608">
        <f>VLOOKUP(Table1[[#This Row],[Supplier ID]],Suppliers!$A$2:$D$6,4,FALSE)</f>
        <v>18</v>
      </c>
      <c r="M608">
        <f>Table1[[#This Row],[Actual Delivery]]-Table1[[#This Row],[Order Date]]-Table1[[#This Row],[std Lead time]]</f>
        <v>0</v>
      </c>
      <c r="N608">
        <f>IF(AND(Table1[[#This Row],[Status]] = "Delivered", Table1[[#This Row],[Actual Delivery]] &lt;= Table1[[#This Row],[Promised Delivery]],Table1[[#This Row],[FillRate]]&gt;=0.95),1,0)</f>
        <v>0</v>
      </c>
      <c r="O608" t="str">
        <f>VLOOKUP(B608,Products!$A$2:$D$9,3,FALSE)</f>
        <v>Raw Material</v>
      </c>
    </row>
    <row r="609" spans="1:15" x14ac:dyDescent="0.25">
      <c r="A609" s="15" t="s">
        <v>637</v>
      </c>
      <c r="B609" s="5" t="s">
        <v>16</v>
      </c>
      <c r="C609" s="5" t="s">
        <v>31</v>
      </c>
      <c r="D609" s="5" t="s">
        <v>23</v>
      </c>
      <c r="E609" s="6">
        <v>45653</v>
      </c>
      <c r="F609" s="21">
        <v>45658</v>
      </c>
      <c r="G609" s="21">
        <v>45661</v>
      </c>
      <c r="H609" s="5">
        <v>1047</v>
      </c>
      <c r="I609" s="5">
        <v>1038</v>
      </c>
      <c r="J609" s="7" t="s">
        <v>564</v>
      </c>
      <c r="K609">
        <f>Table1[[#This Row],[Delivered Qty]]/Table1[[#This Row],[Ordered Qty]]</f>
        <v>0.99140401146131807</v>
      </c>
      <c r="L609">
        <f>VLOOKUP(Table1[[#This Row],[Supplier ID]],Suppliers!$A$2:$D$6,4,FALSE)</f>
        <v>5</v>
      </c>
      <c r="M609">
        <f>Table1[[#This Row],[Actual Delivery]]-Table1[[#This Row],[Order Date]]-Table1[[#This Row],[std Lead time]]</f>
        <v>3</v>
      </c>
      <c r="N609">
        <f>IF(AND(Table1[[#This Row],[Status]] = "Delivered", Table1[[#This Row],[Actual Delivery]] &lt;= Table1[[#This Row],[Promised Delivery]],Table1[[#This Row],[FillRate]]&gt;=0.95),1,0)</f>
        <v>0</v>
      </c>
      <c r="O609" t="str">
        <f>VLOOKUP(B609,Products!$A$2:$D$9,3,FALSE)</f>
        <v>Packaging</v>
      </c>
    </row>
    <row r="610" spans="1:15" x14ac:dyDescent="0.25">
      <c r="A610" s="14" t="s">
        <v>638</v>
      </c>
      <c r="B610" s="2" t="s">
        <v>37</v>
      </c>
      <c r="C610" s="2" t="s">
        <v>57</v>
      </c>
      <c r="D610" s="2" t="s">
        <v>23</v>
      </c>
      <c r="E610" s="3">
        <v>45631</v>
      </c>
      <c r="F610" s="20">
        <v>45652</v>
      </c>
      <c r="G610" s="20">
        <v>45650</v>
      </c>
      <c r="H610" s="2">
        <v>253</v>
      </c>
      <c r="I610" s="2">
        <v>246</v>
      </c>
      <c r="J610" s="4" t="s">
        <v>14</v>
      </c>
      <c r="K610">
        <f>Table1[[#This Row],[Delivered Qty]]/Table1[[#This Row],[Ordered Qty]]</f>
        <v>0.97233201581027673</v>
      </c>
      <c r="L610">
        <f>VLOOKUP(Table1[[#This Row],[Supplier ID]],Suppliers!$A$2:$D$6,4,FALSE)</f>
        <v>21</v>
      </c>
      <c r="M610">
        <f>Table1[[#This Row],[Actual Delivery]]-Table1[[#This Row],[Order Date]]-Table1[[#This Row],[std Lead time]]</f>
        <v>-2</v>
      </c>
      <c r="N610">
        <f>IF(AND(Table1[[#This Row],[Status]] = "Delivered", Table1[[#This Row],[Actual Delivery]] &lt;= Table1[[#This Row],[Promised Delivery]],Table1[[#This Row],[FillRate]]&gt;=0.95),1,0)</f>
        <v>1</v>
      </c>
      <c r="O610" t="str">
        <f>VLOOKUP(B610,Products!$A$2:$D$9,3,FALSE)</f>
        <v>Raw Material</v>
      </c>
    </row>
    <row r="611" spans="1:15" x14ac:dyDescent="0.25">
      <c r="A611" s="15" t="s">
        <v>639</v>
      </c>
      <c r="B611" s="5" t="s">
        <v>37</v>
      </c>
      <c r="C611" s="5" t="s">
        <v>17</v>
      </c>
      <c r="D611" s="5" t="s">
        <v>13</v>
      </c>
      <c r="E611" s="6">
        <v>45646</v>
      </c>
      <c r="F611" s="21">
        <v>45652</v>
      </c>
      <c r="G611" s="21">
        <v>45650</v>
      </c>
      <c r="H611" s="5">
        <v>935</v>
      </c>
      <c r="I611" s="5">
        <v>848</v>
      </c>
      <c r="J611" s="4" t="s">
        <v>14</v>
      </c>
      <c r="K611">
        <f>Table1[[#This Row],[Delivered Qty]]/Table1[[#This Row],[Ordered Qty]]</f>
        <v>0.90695187165775404</v>
      </c>
      <c r="L611">
        <f>VLOOKUP(Table1[[#This Row],[Supplier ID]],Suppliers!$A$2:$D$6,4,FALSE)</f>
        <v>6</v>
      </c>
      <c r="M611">
        <f>Table1[[#This Row],[Actual Delivery]]-Table1[[#This Row],[Order Date]]-Table1[[#This Row],[std Lead time]]</f>
        <v>-2</v>
      </c>
      <c r="N611">
        <f>IF(AND(Table1[[#This Row],[Status]] = "Delivered", Table1[[#This Row],[Actual Delivery]] &lt;= Table1[[#This Row],[Promised Delivery]],Table1[[#This Row],[FillRate]]&gt;=0.95),1,0)</f>
        <v>0</v>
      </c>
      <c r="O611" t="str">
        <f>VLOOKUP(B611,Products!$A$2:$D$9,3,FALSE)</f>
        <v>Raw Material</v>
      </c>
    </row>
    <row r="612" spans="1:15" x14ac:dyDescent="0.25">
      <c r="A612" s="14" t="s">
        <v>640</v>
      </c>
      <c r="B612" s="2" t="s">
        <v>44</v>
      </c>
      <c r="C612" s="2" t="s">
        <v>31</v>
      </c>
      <c r="D612" s="2" t="s">
        <v>18</v>
      </c>
      <c r="E612" s="3">
        <v>45649</v>
      </c>
      <c r="F612" s="20">
        <v>45654</v>
      </c>
      <c r="G612" s="20">
        <v>45653</v>
      </c>
      <c r="H612" s="2">
        <v>1206</v>
      </c>
      <c r="I612" s="2">
        <v>1142</v>
      </c>
      <c r="J612" s="4" t="s">
        <v>14</v>
      </c>
      <c r="K612">
        <f>Table1[[#This Row],[Delivered Qty]]/Table1[[#This Row],[Ordered Qty]]</f>
        <v>0.94693200663349919</v>
      </c>
      <c r="L612">
        <f>VLOOKUP(Table1[[#This Row],[Supplier ID]],Suppliers!$A$2:$D$6,4,FALSE)</f>
        <v>5</v>
      </c>
      <c r="M612">
        <f>Table1[[#This Row],[Actual Delivery]]-Table1[[#This Row],[Order Date]]-Table1[[#This Row],[std Lead time]]</f>
        <v>-1</v>
      </c>
      <c r="N612">
        <f>IF(AND(Table1[[#This Row],[Status]] = "Delivered", Table1[[#This Row],[Actual Delivery]] &lt;= Table1[[#This Row],[Promised Delivery]],Table1[[#This Row],[FillRate]]&gt;=0.95),1,0)</f>
        <v>0</v>
      </c>
      <c r="O612" t="str">
        <f>VLOOKUP(B612,Products!$A$2:$D$9,3,FALSE)</f>
        <v>Finished Goods</v>
      </c>
    </row>
    <row r="613" spans="1:15" x14ac:dyDescent="0.25">
      <c r="A613" s="15" t="s">
        <v>641</v>
      </c>
      <c r="B613" s="5" t="s">
        <v>33</v>
      </c>
      <c r="C613" s="5" t="s">
        <v>31</v>
      </c>
      <c r="D613" s="5" t="s">
        <v>13</v>
      </c>
      <c r="E613" s="6">
        <v>45628</v>
      </c>
      <c r="F613" s="21">
        <v>45633</v>
      </c>
      <c r="G613" s="21">
        <v>45634</v>
      </c>
      <c r="H613" s="5">
        <v>752</v>
      </c>
      <c r="I613" s="5">
        <v>748</v>
      </c>
      <c r="J613" s="4" t="s">
        <v>14</v>
      </c>
      <c r="K613">
        <f>Table1[[#This Row],[Delivered Qty]]/Table1[[#This Row],[Ordered Qty]]</f>
        <v>0.99468085106382975</v>
      </c>
      <c r="L613">
        <f>VLOOKUP(Table1[[#This Row],[Supplier ID]],Suppliers!$A$2:$D$6,4,FALSE)</f>
        <v>5</v>
      </c>
      <c r="M613">
        <f>Table1[[#This Row],[Actual Delivery]]-Table1[[#This Row],[Order Date]]-Table1[[#This Row],[std Lead time]]</f>
        <v>1</v>
      </c>
      <c r="N613">
        <f>IF(AND(Table1[[#This Row],[Status]] = "Delivered", Table1[[#This Row],[Actual Delivery]] &lt;= Table1[[#This Row],[Promised Delivery]],Table1[[#This Row],[FillRate]]&gt;=0.95),1,0)</f>
        <v>0</v>
      </c>
      <c r="O613" t="str">
        <f>VLOOKUP(B613,Products!$A$2:$D$9,3,FALSE)</f>
        <v>Raw Material</v>
      </c>
    </row>
    <row r="614" spans="1:15" x14ac:dyDescent="0.25">
      <c r="A614" s="14" t="s">
        <v>642</v>
      </c>
      <c r="B614" s="2" t="s">
        <v>20</v>
      </c>
      <c r="C614" s="2" t="s">
        <v>31</v>
      </c>
      <c r="D614" s="2" t="s">
        <v>13</v>
      </c>
      <c r="E614" s="3">
        <v>45629</v>
      </c>
      <c r="F614" s="20">
        <v>45634</v>
      </c>
      <c r="G614" s="20">
        <v>45638</v>
      </c>
      <c r="H614" s="2">
        <v>1975</v>
      </c>
      <c r="I614" s="2">
        <v>1899</v>
      </c>
      <c r="J614" s="4" t="s">
        <v>14</v>
      </c>
      <c r="K614">
        <f>Table1[[#This Row],[Delivered Qty]]/Table1[[#This Row],[Ordered Qty]]</f>
        <v>0.9615189873417721</v>
      </c>
      <c r="L614">
        <f>VLOOKUP(Table1[[#This Row],[Supplier ID]],Suppliers!$A$2:$D$6,4,FALSE)</f>
        <v>5</v>
      </c>
      <c r="M614">
        <f>Table1[[#This Row],[Actual Delivery]]-Table1[[#This Row],[Order Date]]-Table1[[#This Row],[std Lead time]]</f>
        <v>4</v>
      </c>
      <c r="N614">
        <f>IF(AND(Table1[[#This Row],[Status]] = "Delivered", Table1[[#This Row],[Actual Delivery]] &lt;= Table1[[#This Row],[Promised Delivery]],Table1[[#This Row],[FillRate]]&gt;=0.95),1,0)</f>
        <v>0</v>
      </c>
      <c r="O614" t="str">
        <f>VLOOKUP(B614,Products!$A$2:$D$9,3,FALSE)</f>
        <v>Raw Material</v>
      </c>
    </row>
    <row r="615" spans="1:15" x14ac:dyDescent="0.25">
      <c r="A615" s="15" t="s">
        <v>643</v>
      </c>
      <c r="B615" s="5" t="s">
        <v>30</v>
      </c>
      <c r="C615" s="5" t="s">
        <v>57</v>
      </c>
      <c r="D615" s="5" t="s">
        <v>13</v>
      </c>
      <c r="E615" s="6">
        <v>45640</v>
      </c>
      <c r="F615" s="21">
        <v>45661</v>
      </c>
      <c r="G615" s="21">
        <v>45666</v>
      </c>
      <c r="H615" s="5">
        <v>1705</v>
      </c>
      <c r="I615" s="5">
        <v>1675</v>
      </c>
      <c r="J615" s="7" t="s">
        <v>564</v>
      </c>
      <c r="K615">
        <f>Table1[[#This Row],[Delivered Qty]]/Table1[[#This Row],[Ordered Qty]]</f>
        <v>0.98240469208211145</v>
      </c>
      <c r="L615">
        <f>VLOOKUP(Table1[[#This Row],[Supplier ID]],Suppliers!$A$2:$D$6,4,FALSE)</f>
        <v>21</v>
      </c>
      <c r="M615">
        <f>Table1[[#This Row],[Actual Delivery]]-Table1[[#This Row],[Order Date]]-Table1[[#This Row],[std Lead time]]</f>
        <v>5</v>
      </c>
      <c r="N615">
        <f>IF(AND(Table1[[#This Row],[Status]] = "Delivered", Table1[[#This Row],[Actual Delivery]] &lt;= Table1[[#This Row],[Promised Delivery]],Table1[[#This Row],[FillRate]]&gt;=0.95),1,0)</f>
        <v>0</v>
      </c>
      <c r="O615" t="str">
        <f>VLOOKUP(B615,Products!$A$2:$D$9,3,FALSE)</f>
        <v>Finished Goods</v>
      </c>
    </row>
    <row r="616" spans="1:15" x14ac:dyDescent="0.25">
      <c r="A616" s="14" t="s">
        <v>644</v>
      </c>
      <c r="B616" s="2" t="s">
        <v>30</v>
      </c>
      <c r="C616" s="2" t="s">
        <v>57</v>
      </c>
      <c r="D616" s="2" t="s">
        <v>28</v>
      </c>
      <c r="E616" s="3">
        <v>45643</v>
      </c>
      <c r="F616" s="20">
        <v>45664</v>
      </c>
      <c r="G616" s="20">
        <v>45662</v>
      </c>
      <c r="H616" s="2">
        <v>1997</v>
      </c>
      <c r="I616" s="2">
        <v>1996</v>
      </c>
      <c r="J616" s="7" t="s">
        <v>564</v>
      </c>
      <c r="K616">
        <f>Table1[[#This Row],[Delivered Qty]]/Table1[[#This Row],[Ordered Qty]]</f>
        <v>0.99949924887330999</v>
      </c>
      <c r="L616">
        <f>VLOOKUP(Table1[[#This Row],[Supplier ID]],Suppliers!$A$2:$D$6,4,FALSE)</f>
        <v>21</v>
      </c>
      <c r="M616">
        <f>Table1[[#This Row],[Actual Delivery]]-Table1[[#This Row],[Order Date]]-Table1[[#This Row],[std Lead time]]</f>
        <v>-2</v>
      </c>
      <c r="N616">
        <f>IF(AND(Table1[[#This Row],[Status]] = "Delivered", Table1[[#This Row],[Actual Delivery]] &lt;= Table1[[#This Row],[Promised Delivery]],Table1[[#This Row],[FillRate]]&gt;=0.95),1,0)</f>
        <v>0</v>
      </c>
      <c r="O616" t="str">
        <f>VLOOKUP(B616,Products!$A$2:$D$9,3,FALSE)</f>
        <v>Finished Goods</v>
      </c>
    </row>
    <row r="617" spans="1:15" x14ac:dyDescent="0.25">
      <c r="A617" s="15" t="s">
        <v>645</v>
      </c>
      <c r="B617" s="5" t="s">
        <v>22</v>
      </c>
      <c r="C617" s="5" t="s">
        <v>26</v>
      </c>
      <c r="D617" s="5" t="s">
        <v>18</v>
      </c>
      <c r="E617" s="6">
        <v>45643</v>
      </c>
      <c r="F617" s="21">
        <v>45650</v>
      </c>
      <c r="G617" s="21">
        <v>45649</v>
      </c>
      <c r="H617" s="5">
        <v>1015</v>
      </c>
      <c r="I617" s="5">
        <v>1003</v>
      </c>
      <c r="J617" s="4" t="s">
        <v>14</v>
      </c>
      <c r="K617">
        <f>Table1[[#This Row],[Delivered Qty]]/Table1[[#This Row],[Ordered Qty]]</f>
        <v>0.98817733990147782</v>
      </c>
      <c r="L617">
        <f>VLOOKUP(Table1[[#This Row],[Supplier ID]],Suppliers!$A$2:$D$6,4,FALSE)</f>
        <v>7</v>
      </c>
      <c r="M617">
        <f>Table1[[#This Row],[Actual Delivery]]-Table1[[#This Row],[Order Date]]-Table1[[#This Row],[std Lead time]]</f>
        <v>-1</v>
      </c>
      <c r="N617">
        <f>IF(AND(Table1[[#This Row],[Status]] = "Delivered", Table1[[#This Row],[Actual Delivery]] &lt;= Table1[[#This Row],[Promised Delivery]],Table1[[#This Row],[FillRate]]&gt;=0.95),1,0)</f>
        <v>1</v>
      </c>
      <c r="O617" t="str">
        <f>VLOOKUP(B617,Products!$A$2:$D$9,3,FALSE)</f>
        <v>Finished Goods</v>
      </c>
    </row>
    <row r="618" spans="1:15" x14ac:dyDescent="0.25">
      <c r="A618" s="14" t="s">
        <v>646</v>
      </c>
      <c r="B618" s="2" t="s">
        <v>37</v>
      </c>
      <c r="C618" s="2" t="s">
        <v>57</v>
      </c>
      <c r="D618" s="2" t="s">
        <v>13</v>
      </c>
      <c r="E618" s="3">
        <v>45640</v>
      </c>
      <c r="F618" s="20">
        <v>45661</v>
      </c>
      <c r="G618" s="20">
        <v>45659</v>
      </c>
      <c r="H618" s="2">
        <v>1613</v>
      </c>
      <c r="I618" s="2">
        <v>1535</v>
      </c>
      <c r="J618" s="8" t="s">
        <v>577</v>
      </c>
      <c r="K618">
        <f>Table1[[#This Row],[Delivered Qty]]/Table1[[#This Row],[Ordered Qty]]</f>
        <v>0.95164290142591446</v>
      </c>
      <c r="L618">
        <f>VLOOKUP(Table1[[#This Row],[Supplier ID]],Suppliers!$A$2:$D$6,4,FALSE)</f>
        <v>21</v>
      </c>
      <c r="M618">
        <f>Table1[[#This Row],[Actual Delivery]]-Table1[[#This Row],[Order Date]]-Table1[[#This Row],[std Lead time]]</f>
        <v>-2</v>
      </c>
      <c r="N618">
        <f>IF(AND(Table1[[#This Row],[Status]] = "Delivered", Table1[[#This Row],[Actual Delivery]] &lt;= Table1[[#This Row],[Promised Delivery]],Table1[[#This Row],[FillRate]]&gt;=0.95),1,0)</f>
        <v>0</v>
      </c>
      <c r="O618" t="str">
        <f>VLOOKUP(B618,Products!$A$2:$D$9,3,FALSE)</f>
        <v>Raw Material</v>
      </c>
    </row>
    <row r="619" spans="1:15" x14ac:dyDescent="0.25">
      <c r="A619" s="15" t="s">
        <v>647</v>
      </c>
      <c r="B619" s="5" t="s">
        <v>33</v>
      </c>
      <c r="C619" s="5" t="s">
        <v>57</v>
      </c>
      <c r="D619" s="5" t="s">
        <v>18</v>
      </c>
      <c r="E619" s="6">
        <v>45629</v>
      </c>
      <c r="F619" s="21">
        <v>45650</v>
      </c>
      <c r="G619" s="21">
        <v>45650</v>
      </c>
      <c r="H619" s="5">
        <v>1625</v>
      </c>
      <c r="I619" s="5">
        <v>1551</v>
      </c>
      <c r="J619" s="4" t="s">
        <v>14</v>
      </c>
      <c r="K619">
        <f>Table1[[#This Row],[Delivered Qty]]/Table1[[#This Row],[Ordered Qty]]</f>
        <v>0.95446153846153847</v>
      </c>
      <c r="L619">
        <f>VLOOKUP(Table1[[#This Row],[Supplier ID]],Suppliers!$A$2:$D$6,4,FALSE)</f>
        <v>21</v>
      </c>
      <c r="M619">
        <f>Table1[[#This Row],[Actual Delivery]]-Table1[[#This Row],[Order Date]]-Table1[[#This Row],[std Lead time]]</f>
        <v>0</v>
      </c>
      <c r="N619">
        <f>IF(AND(Table1[[#This Row],[Status]] = "Delivered", Table1[[#This Row],[Actual Delivery]] &lt;= Table1[[#This Row],[Promised Delivery]],Table1[[#This Row],[FillRate]]&gt;=0.95),1,0)</f>
        <v>1</v>
      </c>
      <c r="O619" t="str">
        <f>VLOOKUP(B619,Products!$A$2:$D$9,3,FALSE)</f>
        <v>Raw Material</v>
      </c>
    </row>
    <row r="620" spans="1:15" x14ac:dyDescent="0.25">
      <c r="A620" s="14" t="s">
        <v>648</v>
      </c>
      <c r="B620" s="2" t="s">
        <v>22</v>
      </c>
      <c r="C620" s="2" t="s">
        <v>57</v>
      </c>
      <c r="D620" s="2" t="s">
        <v>23</v>
      </c>
      <c r="E620" s="3">
        <v>45641</v>
      </c>
      <c r="F620" s="20">
        <v>45662</v>
      </c>
      <c r="G620" s="20">
        <v>45662</v>
      </c>
      <c r="H620" s="2">
        <v>1659</v>
      </c>
      <c r="I620" s="2">
        <v>1641</v>
      </c>
      <c r="J620" s="7" t="s">
        <v>564</v>
      </c>
      <c r="K620">
        <f>Table1[[#This Row],[Delivered Qty]]/Table1[[#This Row],[Ordered Qty]]</f>
        <v>0.98915009041591317</v>
      </c>
      <c r="L620">
        <f>VLOOKUP(Table1[[#This Row],[Supplier ID]],Suppliers!$A$2:$D$6,4,FALSE)</f>
        <v>21</v>
      </c>
      <c r="M620">
        <f>Table1[[#This Row],[Actual Delivery]]-Table1[[#This Row],[Order Date]]-Table1[[#This Row],[std Lead time]]</f>
        <v>0</v>
      </c>
      <c r="N620">
        <f>IF(AND(Table1[[#This Row],[Status]] = "Delivered", Table1[[#This Row],[Actual Delivery]] &lt;= Table1[[#This Row],[Promised Delivery]],Table1[[#This Row],[FillRate]]&gt;=0.95),1,0)</f>
        <v>0</v>
      </c>
      <c r="O620" t="str">
        <f>VLOOKUP(B620,Products!$A$2:$D$9,3,FALSE)</f>
        <v>Finished Goods</v>
      </c>
    </row>
    <row r="621" spans="1:15" x14ac:dyDescent="0.25">
      <c r="A621" s="15" t="s">
        <v>649</v>
      </c>
      <c r="B621" s="5" t="s">
        <v>44</v>
      </c>
      <c r="C621" s="5" t="s">
        <v>26</v>
      </c>
      <c r="D621" s="5" t="s">
        <v>23</v>
      </c>
      <c r="E621" s="6">
        <v>45637</v>
      </c>
      <c r="F621" s="21">
        <v>45644</v>
      </c>
      <c r="G621" s="21">
        <v>45645</v>
      </c>
      <c r="H621" s="5">
        <v>386</v>
      </c>
      <c r="I621" s="5">
        <v>351</v>
      </c>
      <c r="J621" s="4" t="s">
        <v>14</v>
      </c>
      <c r="K621">
        <f>Table1[[#This Row],[Delivered Qty]]/Table1[[#This Row],[Ordered Qty]]</f>
        <v>0.90932642487046633</v>
      </c>
      <c r="L621">
        <f>VLOOKUP(Table1[[#This Row],[Supplier ID]],Suppliers!$A$2:$D$6,4,FALSE)</f>
        <v>7</v>
      </c>
      <c r="M621">
        <f>Table1[[#This Row],[Actual Delivery]]-Table1[[#This Row],[Order Date]]-Table1[[#This Row],[std Lead time]]</f>
        <v>1</v>
      </c>
      <c r="N621">
        <f>IF(AND(Table1[[#This Row],[Status]] = "Delivered", Table1[[#This Row],[Actual Delivery]] &lt;= Table1[[#This Row],[Promised Delivery]],Table1[[#This Row],[FillRate]]&gt;=0.95),1,0)</f>
        <v>0</v>
      </c>
      <c r="O621" t="str">
        <f>VLOOKUP(B621,Products!$A$2:$D$9,3,FALSE)</f>
        <v>Finished Goods</v>
      </c>
    </row>
    <row r="622" spans="1:15" x14ac:dyDescent="0.25">
      <c r="A622" s="14" t="s">
        <v>650</v>
      </c>
      <c r="B622" s="2" t="s">
        <v>44</v>
      </c>
      <c r="C622" s="2" t="s">
        <v>12</v>
      </c>
      <c r="D622" s="2" t="s">
        <v>28</v>
      </c>
      <c r="E622" s="3">
        <v>45643</v>
      </c>
      <c r="F622" s="20">
        <v>45661</v>
      </c>
      <c r="G622" s="20">
        <v>45666</v>
      </c>
      <c r="H622" s="2">
        <v>1453</v>
      </c>
      <c r="I622" s="2">
        <v>1445</v>
      </c>
      <c r="J622" s="7" t="s">
        <v>564</v>
      </c>
      <c r="K622">
        <f>Table1[[#This Row],[Delivered Qty]]/Table1[[#This Row],[Ordered Qty]]</f>
        <v>0.99449415003441155</v>
      </c>
      <c r="L622">
        <f>VLOOKUP(Table1[[#This Row],[Supplier ID]],Suppliers!$A$2:$D$6,4,FALSE)</f>
        <v>18</v>
      </c>
      <c r="M622">
        <f>Table1[[#This Row],[Actual Delivery]]-Table1[[#This Row],[Order Date]]-Table1[[#This Row],[std Lead time]]</f>
        <v>5</v>
      </c>
      <c r="N622">
        <f>IF(AND(Table1[[#This Row],[Status]] = "Delivered", Table1[[#This Row],[Actual Delivery]] &lt;= Table1[[#This Row],[Promised Delivery]],Table1[[#This Row],[FillRate]]&gt;=0.95),1,0)</f>
        <v>0</v>
      </c>
      <c r="O622" t="str">
        <f>VLOOKUP(B622,Products!$A$2:$D$9,3,FALSE)</f>
        <v>Finished Goods</v>
      </c>
    </row>
    <row r="623" spans="1:15" x14ac:dyDescent="0.25">
      <c r="A623" s="15" t="s">
        <v>651</v>
      </c>
      <c r="B623" s="5" t="s">
        <v>22</v>
      </c>
      <c r="C623" s="5" t="s">
        <v>17</v>
      </c>
      <c r="D623" s="5" t="s">
        <v>18</v>
      </c>
      <c r="E623" s="6">
        <v>45628</v>
      </c>
      <c r="F623" s="21">
        <v>45634</v>
      </c>
      <c r="G623" s="21">
        <v>45639</v>
      </c>
      <c r="H623" s="5">
        <v>1984</v>
      </c>
      <c r="I623" s="5">
        <v>1916</v>
      </c>
      <c r="J623" s="4" t="s">
        <v>14</v>
      </c>
      <c r="K623">
        <f>Table1[[#This Row],[Delivered Qty]]/Table1[[#This Row],[Ordered Qty]]</f>
        <v>0.96572580645161288</v>
      </c>
      <c r="L623">
        <f>VLOOKUP(Table1[[#This Row],[Supplier ID]],Suppliers!$A$2:$D$6,4,FALSE)</f>
        <v>6</v>
      </c>
      <c r="M623">
        <f>Table1[[#This Row],[Actual Delivery]]-Table1[[#This Row],[Order Date]]-Table1[[#This Row],[std Lead time]]</f>
        <v>5</v>
      </c>
      <c r="N623">
        <f>IF(AND(Table1[[#This Row],[Status]] = "Delivered", Table1[[#This Row],[Actual Delivery]] &lt;= Table1[[#This Row],[Promised Delivery]],Table1[[#This Row],[FillRate]]&gt;=0.95),1,0)</f>
        <v>0</v>
      </c>
      <c r="O623" t="str">
        <f>VLOOKUP(B623,Products!$A$2:$D$9,3,FALSE)</f>
        <v>Finished Goods</v>
      </c>
    </row>
    <row r="624" spans="1:15" x14ac:dyDescent="0.25">
      <c r="A624" s="14" t="s">
        <v>652</v>
      </c>
      <c r="B624" s="2" t="s">
        <v>33</v>
      </c>
      <c r="C624" s="2" t="s">
        <v>31</v>
      </c>
      <c r="D624" s="2" t="s">
        <v>13</v>
      </c>
      <c r="E624" s="3">
        <v>45632</v>
      </c>
      <c r="F624" s="20">
        <v>45637</v>
      </c>
      <c r="G624" s="20">
        <v>45636</v>
      </c>
      <c r="H624" s="2">
        <v>1695</v>
      </c>
      <c r="I624" s="2">
        <v>1655</v>
      </c>
      <c r="J624" s="4" t="s">
        <v>14</v>
      </c>
      <c r="K624">
        <f>Table1[[#This Row],[Delivered Qty]]/Table1[[#This Row],[Ordered Qty]]</f>
        <v>0.97640117994100295</v>
      </c>
      <c r="L624">
        <f>VLOOKUP(Table1[[#This Row],[Supplier ID]],Suppliers!$A$2:$D$6,4,FALSE)</f>
        <v>5</v>
      </c>
      <c r="M624">
        <f>Table1[[#This Row],[Actual Delivery]]-Table1[[#This Row],[Order Date]]-Table1[[#This Row],[std Lead time]]</f>
        <v>-1</v>
      </c>
      <c r="N624">
        <f>IF(AND(Table1[[#This Row],[Status]] = "Delivered", Table1[[#This Row],[Actual Delivery]] &lt;= Table1[[#This Row],[Promised Delivery]],Table1[[#This Row],[FillRate]]&gt;=0.95),1,0)</f>
        <v>1</v>
      </c>
      <c r="O624" t="str">
        <f>VLOOKUP(B624,Products!$A$2:$D$9,3,FALSE)</f>
        <v>Raw Material</v>
      </c>
    </row>
    <row r="625" spans="1:15" x14ac:dyDescent="0.25">
      <c r="A625" s="15" t="s">
        <v>653</v>
      </c>
      <c r="B625" s="5" t="s">
        <v>44</v>
      </c>
      <c r="C625" s="5" t="s">
        <v>12</v>
      </c>
      <c r="D625" s="5" t="s">
        <v>13</v>
      </c>
      <c r="E625" s="6">
        <v>45630</v>
      </c>
      <c r="F625" s="21">
        <v>45648</v>
      </c>
      <c r="G625" s="21">
        <v>45655</v>
      </c>
      <c r="H625" s="5">
        <v>1475</v>
      </c>
      <c r="I625" s="5">
        <v>1440</v>
      </c>
      <c r="J625" s="4" t="s">
        <v>14</v>
      </c>
      <c r="K625">
        <f>Table1[[#This Row],[Delivered Qty]]/Table1[[#This Row],[Ordered Qty]]</f>
        <v>0.97627118644067801</v>
      </c>
      <c r="L625">
        <f>VLOOKUP(Table1[[#This Row],[Supplier ID]],Suppliers!$A$2:$D$6,4,FALSE)</f>
        <v>18</v>
      </c>
      <c r="M625">
        <f>Table1[[#This Row],[Actual Delivery]]-Table1[[#This Row],[Order Date]]-Table1[[#This Row],[std Lead time]]</f>
        <v>7</v>
      </c>
      <c r="N625">
        <f>IF(AND(Table1[[#This Row],[Status]] = "Delivered", Table1[[#This Row],[Actual Delivery]] &lt;= Table1[[#This Row],[Promised Delivery]],Table1[[#This Row],[FillRate]]&gt;=0.95),1,0)</f>
        <v>0</v>
      </c>
      <c r="O625" t="str">
        <f>VLOOKUP(B625,Products!$A$2:$D$9,3,FALSE)</f>
        <v>Finished Goods</v>
      </c>
    </row>
    <row r="626" spans="1:15" x14ac:dyDescent="0.25">
      <c r="A626" s="14" t="s">
        <v>654</v>
      </c>
      <c r="B626" s="2" t="s">
        <v>11</v>
      </c>
      <c r="C626" s="2" t="s">
        <v>57</v>
      </c>
      <c r="D626" s="2" t="s">
        <v>18</v>
      </c>
      <c r="E626" s="3">
        <v>45654</v>
      </c>
      <c r="F626" s="20">
        <v>45675</v>
      </c>
      <c r="G626" s="20">
        <v>45673</v>
      </c>
      <c r="H626" s="2">
        <v>1445</v>
      </c>
      <c r="I626" s="2">
        <v>1407</v>
      </c>
      <c r="J626" s="7" t="s">
        <v>564</v>
      </c>
      <c r="K626">
        <f>Table1[[#This Row],[Delivered Qty]]/Table1[[#This Row],[Ordered Qty]]</f>
        <v>0.97370242214532876</v>
      </c>
      <c r="L626">
        <f>VLOOKUP(Table1[[#This Row],[Supplier ID]],Suppliers!$A$2:$D$6,4,FALSE)</f>
        <v>21</v>
      </c>
      <c r="M626">
        <f>Table1[[#This Row],[Actual Delivery]]-Table1[[#This Row],[Order Date]]-Table1[[#This Row],[std Lead time]]</f>
        <v>-2</v>
      </c>
      <c r="N626">
        <f>IF(AND(Table1[[#This Row],[Status]] = "Delivered", Table1[[#This Row],[Actual Delivery]] &lt;= Table1[[#This Row],[Promised Delivery]],Table1[[#This Row],[FillRate]]&gt;=0.95),1,0)</f>
        <v>0</v>
      </c>
      <c r="O626" t="str">
        <f>VLOOKUP(B626,Products!$A$2:$D$9,3,FALSE)</f>
        <v>Packaging</v>
      </c>
    </row>
    <row r="627" spans="1:15" x14ac:dyDescent="0.25">
      <c r="A627" s="15" t="s">
        <v>655</v>
      </c>
      <c r="B627" s="5" t="s">
        <v>20</v>
      </c>
      <c r="C627" s="5" t="s">
        <v>31</v>
      </c>
      <c r="D627" s="5" t="s">
        <v>18</v>
      </c>
      <c r="E627" s="6">
        <v>45641</v>
      </c>
      <c r="F627" s="21">
        <v>45646</v>
      </c>
      <c r="G627" s="21">
        <v>45646</v>
      </c>
      <c r="H627" s="5">
        <v>1429</v>
      </c>
      <c r="I627" s="5">
        <v>1287</v>
      </c>
      <c r="J627" s="4" t="s">
        <v>14</v>
      </c>
      <c r="K627">
        <f>Table1[[#This Row],[Delivered Qty]]/Table1[[#This Row],[Ordered Qty]]</f>
        <v>0.90062981105668305</v>
      </c>
      <c r="L627">
        <f>VLOOKUP(Table1[[#This Row],[Supplier ID]],Suppliers!$A$2:$D$6,4,FALSE)</f>
        <v>5</v>
      </c>
      <c r="M627">
        <f>Table1[[#This Row],[Actual Delivery]]-Table1[[#This Row],[Order Date]]-Table1[[#This Row],[std Lead time]]</f>
        <v>0</v>
      </c>
      <c r="N627">
        <f>IF(AND(Table1[[#This Row],[Status]] = "Delivered", Table1[[#This Row],[Actual Delivery]] &lt;= Table1[[#This Row],[Promised Delivery]],Table1[[#This Row],[FillRate]]&gt;=0.95),1,0)</f>
        <v>0</v>
      </c>
      <c r="O627" t="str">
        <f>VLOOKUP(B627,Products!$A$2:$D$9,3,FALSE)</f>
        <v>Raw Material</v>
      </c>
    </row>
    <row r="628" spans="1:15" x14ac:dyDescent="0.25">
      <c r="A628" s="14" t="s">
        <v>656</v>
      </c>
      <c r="B628" s="2" t="s">
        <v>37</v>
      </c>
      <c r="C628" s="2" t="s">
        <v>17</v>
      </c>
      <c r="D628" s="2" t="s">
        <v>13</v>
      </c>
      <c r="E628" s="3">
        <v>45628</v>
      </c>
      <c r="F628" s="20">
        <v>45634</v>
      </c>
      <c r="G628" s="20">
        <v>45634</v>
      </c>
      <c r="H628" s="2">
        <v>914</v>
      </c>
      <c r="I628" s="2">
        <v>825</v>
      </c>
      <c r="J628" s="4" t="s">
        <v>14</v>
      </c>
      <c r="K628">
        <f>Table1[[#This Row],[Delivered Qty]]/Table1[[#This Row],[Ordered Qty]]</f>
        <v>0.90262582056892782</v>
      </c>
      <c r="L628">
        <f>VLOOKUP(Table1[[#This Row],[Supplier ID]],Suppliers!$A$2:$D$6,4,FALSE)</f>
        <v>6</v>
      </c>
      <c r="M628">
        <f>Table1[[#This Row],[Actual Delivery]]-Table1[[#This Row],[Order Date]]-Table1[[#This Row],[std Lead time]]</f>
        <v>0</v>
      </c>
      <c r="N628">
        <f>IF(AND(Table1[[#This Row],[Status]] = "Delivered", Table1[[#This Row],[Actual Delivery]] &lt;= Table1[[#This Row],[Promised Delivery]],Table1[[#This Row],[FillRate]]&gt;=0.95),1,0)</f>
        <v>0</v>
      </c>
      <c r="O628" t="str">
        <f>VLOOKUP(B628,Products!$A$2:$D$9,3,FALSE)</f>
        <v>Raw Material</v>
      </c>
    </row>
    <row r="629" spans="1:15" x14ac:dyDescent="0.25">
      <c r="A629" s="15" t="s">
        <v>657</v>
      </c>
      <c r="B629" s="5" t="s">
        <v>11</v>
      </c>
      <c r="C629" s="5" t="s">
        <v>17</v>
      </c>
      <c r="D629" s="5" t="s">
        <v>23</v>
      </c>
      <c r="E629" s="6">
        <v>45637</v>
      </c>
      <c r="F629" s="21">
        <v>45643</v>
      </c>
      <c r="G629" s="21">
        <v>45642</v>
      </c>
      <c r="H629" s="5">
        <v>565</v>
      </c>
      <c r="I629" s="5">
        <v>460</v>
      </c>
      <c r="J629" s="4" t="s">
        <v>14</v>
      </c>
      <c r="K629">
        <f>Table1[[#This Row],[Delivered Qty]]/Table1[[#This Row],[Ordered Qty]]</f>
        <v>0.81415929203539827</v>
      </c>
      <c r="L629">
        <f>VLOOKUP(Table1[[#This Row],[Supplier ID]],Suppliers!$A$2:$D$6,4,FALSE)</f>
        <v>6</v>
      </c>
      <c r="M629">
        <f>Table1[[#This Row],[Actual Delivery]]-Table1[[#This Row],[Order Date]]-Table1[[#This Row],[std Lead time]]</f>
        <v>-1</v>
      </c>
      <c r="N629">
        <f>IF(AND(Table1[[#This Row],[Status]] = "Delivered", Table1[[#This Row],[Actual Delivery]] &lt;= Table1[[#This Row],[Promised Delivery]],Table1[[#This Row],[FillRate]]&gt;=0.95),1,0)</f>
        <v>0</v>
      </c>
      <c r="O629" t="str">
        <f>VLOOKUP(B629,Products!$A$2:$D$9,3,FALSE)</f>
        <v>Packaging</v>
      </c>
    </row>
    <row r="630" spans="1:15" x14ac:dyDescent="0.25">
      <c r="A630" s="14" t="s">
        <v>658</v>
      </c>
      <c r="B630" s="2" t="s">
        <v>37</v>
      </c>
      <c r="C630" s="2" t="s">
        <v>17</v>
      </c>
      <c r="D630" s="2" t="s">
        <v>13</v>
      </c>
      <c r="E630" s="3">
        <v>45641</v>
      </c>
      <c r="F630" s="20">
        <v>45647</v>
      </c>
      <c r="G630" s="20">
        <v>45648</v>
      </c>
      <c r="H630" s="2">
        <v>1773</v>
      </c>
      <c r="I630" s="2">
        <v>1648</v>
      </c>
      <c r="J630" s="4" t="s">
        <v>14</v>
      </c>
      <c r="K630">
        <f>Table1[[#This Row],[Delivered Qty]]/Table1[[#This Row],[Ordered Qty]]</f>
        <v>0.92949802594472641</v>
      </c>
      <c r="L630">
        <f>VLOOKUP(Table1[[#This Row],[Supplier ID]],Suppliers!$A$2:$D$6,4,FALSE)</f>
        <v>6</v>
      </c>
      <c r="M630">
        <f>Table1[[#This Row],[Actual Delivery]]-Table1[[#This Row],[Order Date]]-Table1[[#This Row],[std Lead time]]</f>
        <v>1</v>
      </c>
      <c r="N630">
        <f>IF(AND(Table1[[#This Row],[Status]] = "Delivered", Table1[[#This Row],[Actual Delivery]] &lt;= Table1[[#This Row],[Promised Delivery]],Table1[[#This Row],[FillRate]]&gt;=0.95),1,0)</f>
        <v>0</v>
      </c>
      <c r="O630" t="str">
        <f>VLOOKUP(B630,Products!$A$2:$D$9,3,FALSE)</f>
        <v>Raw Material</v>
      </c>
    </row>
    <row r="631" spans="1:15" x14ac:dyDescent="0.25">
      <c r="A631" s="15" t="s">
        <v>659</v>
      </c>
      <c r="B631" s="5" t="s">
        <v>30</v>
      </c>
      <c r="C631" s="5" t="s">
        <v>57</v>
      </c>
      <c r="D631" s="5" t="s">
        <v>28</v>
      </c>
      <c r="E631" s="6">
        <v>45651</v>
      </c>
      <c r="F631" s="21">
        <v>45672</v>
      </c>
      <c r="G631" s="21">
        <v>45673</v>
      </c>
      <c r="H631" s="5">
        <v>799</v>
      </c>
      <c r="I631" s="5">
        <v>756</v>
      </c>
      <c r="J631" s="7" t="s">
        <v>564</v>
      </c>
      <c r="K631">
        <f>Table1[[#This Row],[Delivered Qty]]/Table1[[#This Row],[Ordered Qty]]</f>
        <v>0.9461827284105131</v>
      </c>
      <c r="L631">
        <f>VLOOKUP(Table1[[#This Row],[Supplier ID]],Suppliers!$A$2:$D$6,4,FALSE)</f>
        <v>21</v>
      </c>
      <c r="M631">
        <f>Table1[[#This Row],[Actual Delivery]]-Table1[[#This Row],[Order Date]]-Table1[[#This Row],[std Lead time]]</f>
        <v>1</v>
      </c>
      <c r="N631">
        <f>IF(AND(Table1[[#This Row],[Status]] = "Delivered", Table1[[#This Row],[Actual Delivery]] &lt;= Table1[[#This Row],[Promised Delivery]],Table1[[#This Row],[FillRate]]&gt;=0.95),1,0)</f>
        <v>0</v>
      </c>
      <c r="O631" t="str">
        <f>VLOOKUP(B631,Products!$A$2:$D$9,3,FALSE)</f>
        <v>Finished Goods</v>
      </c>
    </row>
    <row r="632" spans="1:15" x14ac:dyDescent="0.25">
      <c r="A632" s="14" t="s">
        <v>660</v>
      </c>
      <c r="B632" s="2" t="s">
        <v>16</v>
      </c>
      <c r="C632" s="2" t="s">
        <v>12</v>
      </c>
      <c r="D632" s="2" t="s">
        <v>23</v>
      </c>
      <c r="E632" s="3">
        <v>45643</v>
      </c>
      <c r="F632" s="20">
        <v>45661</v>
      </c>
      <c r="G632" s="20">
        <v>45661</v>
      </c>
      <c r="H632" s="2">
        <v>628</v>
      </c>
      <c r="I632" s="2">
        <v>574</v>
      </c>
      <c r="J632" s="7" t="s">
        <v>564</v>
      </c>
      <c r="K632">
        <f>Table1[[#This Row],[Delivered Qty]]/Table1[[#This Row],[Ordered Qty]]</f>
        <v>0.9140127388535032</v>
      </c>
      <c r="L632">
        <f>VLOOKUP(Table1[[#This Row],[Supplier ID]],Suppliers!$A$2:$D$6,4,FALSE)</f>
        <v>18</v>
      </c>
      <c r="M632">
        <f>Table1[[#This Row],[Actual Delivery]]-Table1[[#This Row],[Order Date]]-Table1[[#This Row],[std Lead time]]</f>
        <v>0</v>
      </c>
      <c r="N632">
        <f>IF(AND(Table1[[#This Row],[Status]] = "Delivered", Table1[[#This Row],[Actual Delivery]] &lt;= Table1[[#This Row],[Promised Delivery]],Table1[[#This Row],[FillRate]]&gt;=0.95),1,0)</f>
        <v>0</v>
      </c>
      <c r="O632" t="str">
        <f>VLOOKUP(B632,Products!$A$2:$D$9,3,FALSE)</f>
        <v>Packaging</v>
      </c>
    </row>
    <row r="633" spans="1:15" x14ac:dyDescent="0.25">
      <c r="A633" s="15" t="s">
        <v>661</v>
      </c>
      <c r="B633" s="5" t="s">
        <v>16</v>
      </c>
      <c r="C633" s="5" t="s">
        <v>17</v>
      </c>
      <c r="D633" s="5" t="s">
        <v>28</v>
      </c>
      <c r="E633" s="6">
        <v>45642</v>
      </c>
      <c r="F633" s="21">
        <v>45648</v>
      </c>
      <c r="G633" s="21">
        <v>45647</v>
      </c>
      <c r="H633" s="5">
        <v>731</v>
      </c>
      <c r="I633" s="5">
        <v>654</v>
      </c>
      <c r="J633" s="4" t="s">
        <v>14</v>
      </c>
      <c r="K633">
        <f>Table1[[#This Row],[Delivered Qty]]/Table1[[#This Row],[Ordered Qty]]</f>
        <v>0.89466484268125857</v>
      </c>
      <c r="L633">
        <f>VLOOKUP(Table1[[#This Row],[Supplier ID]],Suppliers!$A$2:$D$6,4,FALSE)</f>
        <v>6</v>
      </c>
      <c r="M633">
        <f>Table1[[#This Row],[Actual Delivery]]-Table1[[#This Row],[Order Date]]-Table1[[#This Row],[std Lead time]]</f>
        <v>-1</v>
      </c>
      <c r="N633">
        <f>IF(AND(Table1[[#This Row],[Status]] = "Delivered", Table1[[#This Row],[Actual Delivery]] &lt;= Table1[[#This Row],[Promised Delivery]],Table1[[#This Row],[FillRate]]&gt;=0.95),1,0)</f>
        <v>0</v>
      </c>
      <c r="O633" t="str">
        <f>VLOOKUP(B633,Products!$A$2:$D$9,3,FALSE)</f>
        <v>Packaging</v>
      </c>
    </row>
    <row r="634" spans="1:15" x14ac:dyDescent="0.25">
      <c r="A634" s="14" t="s">
        <v>662</v>
      </c>
      <c r="B634" s="2" t="s">
        <v>30</v>
      </c>
      <c r="C634" s="2" t="s">
        <v>31</v>
      </c>
      <c r="D634" s="2" t="s">
        <v>18</v>
      </c>
      <c r="E634" s="3">
        <v>45643</v>
      </c>
      <c r="F634" s="20">
        <v>45648</v>
      </c>
      <c r="G634" s="20">
        <v>45646</v>
      </c>
      <c r="H634" s="2">
        <v>1448</v>
      </c>
      <c r="I634" s="2">
        <v>1336</v>
      </c>
      <c r="J634" s="4" t="s">
        <v>14</v>
      </c>
      <c r="K634">
        <f>Table1[[#This Row],[Delivered Qty]]/Table1[[#This Row],[Ordered Qty]]</f>
        <v>0.92265193370165743</v>
      </c>
      <c r="L634">
        <f>VLOOKUP(Table1[[#This Row],[Supplier ID]],Suppliers!$A$2:$D$6,4,FALSE)</f>
        <v>5</v>
      </c>
      <c r="M634">
        <f>Table1[[#This Row],[Actual Delivery]]-Table1[[#This Row],[Order Date]]-Table1[[#This Row],[std Lead time]]</f>
        <v>-2</v>
      </c>
      <c r="N634">
        <f>IF(AND(Table1[[#This Row],[Status]] = "Delivered", Table1[[#This Row],[Actual Delivery]] &lt;= Table1[[#This Row],[Promised Delivery]],Table1[[#This Row],[FillRate]]&gt;=0.95),1,0)</f>
        <v>0</v>
      </c>
      <c r="O634" t="str">
        <f>VLOOKUP(B634,Products!$A$2:$D$9,3,FALSE)</f>
        <v>Finished Goods</v>
      </c>
    </row>
    <row r="635" spans="1:15" x14ac:dyDescent="0.25">
      <c r="A635" s="15" t="s">
        <v>663</v>
      </c>
      <c r="B635" s="5" t="s">
        <v>37</v>
      </c>
      <c r="C635" s="5" t="s">
        <v>31</v>
      </c>
      <c r="D635" s="5" t="s">
        <v>28</v>
      </c>
      <c r="E635" s="6">
        <v>45630</v>
      </c>
      <c r="F635" s="21">
        <v>45635</v>
      </c>
      <c r="G635" s="21">
        <v>45633</v>
      </c>
      <c r="H635" s="5">
        <v>1710</v>
      </c>
      <c r="I635" s="5">
        <v>1684</v>
      </c>
      <c r="J635" s="4" t="s">
        <v>14</v>
      </c>
      <c r="K635">
        <f>Table1[[#This Row],[Delivered Qty]]/Table1[[#This Row],[Ordered Qty]]</f>
        <v>0.98479532163742689</v>
      </c>
      <c r="L635">
        <f>VLOOKUP(Table1[[#This Row],[Supplier ID]],Suppliers!$A$2:$D$6,4,FALSE)</f>
        <v>5</v>
      </c>
      <c r="M635">
        <f>Table1[[#This Row],[Actual Delivery]]-Table1[[#This Row],[Order Date]]-Table1[[#This Row],[std Lead time]]</f>
        <v>-2</v>
      </c>
      <c r="N635">
        <f>IF(AND(Table1[[#This Row],[Status]] = "Delivered", Table1[[#This Row],[Actual Delivery]] &lt;= Table1[[#This Row],[Promised Delivery]],Table1[[#This Row],[FillRate]]&gt;=0.95),1,0)</f>
        <v>1</v>
      </c>
      <c r="O635" t="str">
        <f>VLOOKUP(B635,Products!$A$2:$D$9,3,FALSE)</f>
        <v>Raw Material</v>
      </c>
    </row>
    <row r="636" spans="1:15" x14ac:dyDescent="0.25">
      <c r="A636" s="14" t="s">
        <v>664</v>
      </c>
      <c r="B636" s="2" t="s">
        <v>22</v>
      </c>
      <c r="C636" s="2" t="s">
        <v>57</v>
      </c>
      <c r="D636" s="2" t="s">
        <v>28</v>
      </c>
      <c r="E636" s="3">
        <v>45637</v>
      </c>
      <c r="F636" s="20">
        <v>45658</v>
      </c>
      <c r="G636" s="20">
        <v>45658</v>
      </c>
      <c r="H636" s="2">
        <v>634</v>
      </c>
      <c r="I636" s="2">
        <v>571</v>
      </c>
      <c r="J636" s="8" t="s">
        <v>577</v>
      </c>
      <c r="K636">
        <f>Table1[[#This Row],[Delivered Qty]]/Table1[[#This Row],[Ordered Qty]]</f>
        <v>0.90063091482649837</v>
      </c>
      <c r="L636">
        <f>VLOOKUP(Table1[[#This Row],[Supplier ID]],Suppliers!$A$2:$D$6,4,FALSE)</f>
        <v>21</v>
      </c>
      <c r="M636">
        <f>Table1[[#This Row],[Actual Delivery]]-Table1[[#This Row],[Order Date]]-Table1[[#This Row],[std Lead time]]</f>
        <v>0</v>
      </c>
      <c r="N636">
        <f>IF(AND(Table1[[#This Row],[Status]] = "Delivered", Table1[[#This Row],[Actual Delivery]] &lt;= Table1[[#This Row],[Promised Delivery]],Table1[[#This Row],[FillRate]]&gt;=0.95),1,0)</f>
        <v>0</v>
      </c>
      <c r="O636" t="str">
        <f>VLOOKUP(B636,Products!$A$2:$D$9,3,FALSE)</f>
        <v>Finished Goods</v>
      </c>
    </row>
    <row r="637" spans="1:15" x14ac:dyDescent="0.25">
      <c r="A637" s="15" t="s">
        <v>665</v>
      </c>
      <c r="B637" s="5" t="s">
        <v>20</v>
      </c>
      <c r="C637" s="5" t="s">
        <v>12</v>
      </c>
      <c r="D637" s="5" t="s">
        <v>23</v>
      </c>
      <c r="E637" s="6">
        <v>45652</v>
      </c>
      <c r="F637" s="21">
        <v>45670</v>
      </c>
      <c r="G637" s="21">
        <v>45670</v>
      </c>
      <c r="H637" s="5">
        <v>1326</v>
      </c>
      <c r="I637" s="5">
        <v>1236</v>
      </c>
      <c r="J637" s="7" t="s">
        <v>564</v>
      </c>
      <c r="K637">
        <f>Table1[[#This Row],[Delivered Qty]]/Table1[[#This Row],[Ordered Qty]]</f>
        <v>0.9321266968325792</v>
      </c>
      <c r="L637">
        <f>VLOOKUP(Table1[[#This Row],[Supplier ID]],Suppliers!$A$2:$D$6,4,FALSE)</f>
        <v>18</v>
      </c>
      <c r="M637">
        <f>Table1[[#This Row],[Actual Delivery]]-Table1[[#This Row],[Order Date]]-Table1[[#This Row],[std Lead time]]</f>
        <v>0</v>
      </c>
      <c r="N637">
        <f>IF(AND(Table1[[#This Row],[Status]] = "Delivered", Table1[[#This Row],[Actual Delivery]] &lt;= Table1[[#This Row],[Promised Delivery]],Table1[[#This Row],[FillRate]]&gt;=0.95),1,0)</f>
        <v>0</v>
      </c>
      <c r="O637" t="str">
        <f>VLOOKUP(B637,Products!$A$2:$D$9,3,FALSE)</f>
        <v>Raw Material</v>
      </c>
    </row>
    <row r="638" spans="1:15" x14ac:dyDescent="0.25">
      <c r="A638" s="14" t="s">
        <v>666</v>
      </c>
      <c r="B638" s="2" t="s">
        <v>11</v>
      </c>
      <c r="C638" s="2" t="s">
        <v>26</v>
      </c>
      <c r="D638" s="2" t="s">
        <v>23</v>
      </c>
      <c r="E638" s="3">
        <v>45637</v>
      </c>
      <c r="F638" s="20">
        <v>45644</v>
      </c>
      <c r="G638" s="20">
        <v>45649</v>
      </c>
      <c r="H638" s="2">
        <v>259</v>
      </c>
      <c r="I638" s="2">
        <v>249</v>
      </c>
      <c r="J638" s="4" t="s">
        <v>14</v>
      </c>
      <c r="K638">
        <f>Table1[[#This Row],[Delivered Qty]]/Table1[[#This Row],[Ordered Qty]]</f>
        <v>0.96138996138996136</v>
      </c>
      <c r="L638">
        <f>VLOOKUP(Table1[[#This Row],[Supplier ID]],Suppliers!$A$2:$D$6,4,FALSE)</f>
        <v>7</v>
      </c>
      <c r="M638">
        <f>Table1[[#This Row],[Actual Delivery]]-Table1[[#This Row],[Order Date]]-Table1[[#This Row],[std Lead time]]</f>
        <v>5</v>
      </c>
      <c r="N638">
        <f>IF(AND(Table1[[#This Row],[Status]] = "Delivered", Table1[[#This Row],[Actual Delivery]] &lt;= Table1[[#This Row],[Promised Delivery]],Table1[[#This Row],[FillRate]]&gt;=0.95),1,0)</f>
        <v>0</v>
      </c>
      <c r="O638" t="str">
        <f>VLOOKUP(B638,Products!$A$2:$D$9,3,FALSE)</f>
        <v>Packaging</v>
      </c>
    </row>
    <row r="639" spans="1:15" x14ac:dyDescent="0.25">
      <c r="A639" s="15" t="s">
        <v>667</v>
      </c>
      <c r="B639" s="5" t="s">
        <v>20</v>
      </c>
      <c r="C639" s="5" t="s">
        <v>12</v>
      </c>
      <c r="D639" s="5" t="s">
        <v>23</v>
      </c>
      <c r="E639" s="6">
        <v>45648</v>
      </c>
      <c r="F639" s="21">
        <v>45666</v>
      </c>
      <c r="G639" s="21">
        <v>45667</v>
      </c>
      <c r="H639" s="5">
        <v>1522</v>
      </c>
      <c r="I639" s="5">
        <v>1390</v>
      </c>
      <c r="J639" s="7" t="s">
        <v>564</v>
      </c>
      <c r="K639">
        <f>Table1[[#This Row],[Delivered Qty]]/Table1[[#This Row],[Ordered Qty]]</f>
        <v>0.91327201051248352</v>
      </c>
      <c r="L639">
        <f>VLOOKUP(Table1[[#This Row],[Supplier ID]],Suppliers!$A$2:$D$6,4,FALSE)</f>
        <v>18</v>
      </c>
      <c r="M639">
        <f>Table1[[#This Row],[Actual Delivery]]-Table1[[#This Row],[Order Date]]-Table1[[#This Row],[std Lead time]]</f>
        <v>1</v>
      </c>
      <c r="N639">
        <f>IF(AND(Table1[[#This Row],[Status]] = "Delivered", Table1[[#This Row],[Actual Delivery]] &lt;= Table1[[#This Row],[Promised Delivery]],Table1[[#This Row],[FillRate]]&gt;=0.95),1,0)</f>
        <v>0</v>
      </c>
      <c r="O639" t="str">
        <f>VLOOKUP(B639,Products!$A$2:$D$9,3,FALSE)</f>
        <v>Raw Material</v>
      </c>
    </row>
    <row r="640" spans="1:15" x14ac:dyDescent="0.25">
      <c r="A640" s="14" t="s">
        <v>668</v>
      </c>
      <c r="B640" s="2" t="s">
        <v>33</v>
      </c>
      <c r="C640" s="2" t="s">
        <v>57</v>
      </c>
      <c r="D640" s="2" t="s">
        <v>23</v>
      </c>
      <c r="E640" s="3">
        <v>45641</v>
      </c>
      <c r="F640" s="20">
        <v>45662</v>
      </c>
      <c r="G640" s="20">
        <v>45663</v>
      </c>
      <c r="H640" s="2">
        <v>1910</v>
      </c>
      <c r="I640" s="2">
        <v>1818</v>
      </c>
      <c r="J640" s="7" t="s">
        <v>564</v>
      </c>
      <c r="K640">
        <f>Table1[[#This Row],[Delivered Qty]]/Table1[[#This Row],[Ordered Qty]]</f>
        <v>0.95183246073298433</v>
      </c>
      <c r="L640">
        <f>VLOOKUP(Table1[[#This Row],[Supplier ID]],Suppliers!$A$2:$D$6,4,FALSE)</f>
        <v>21</v>
      </c>
      <c r="M640">
        <f>Table1[[#This Row],[Actual Delivery]]-Table1[[#This Row],[Order Date]]-Table1[[#This Row],[std Lead time]]</f>
        <v>1</v>
      </c>
      <c r="N640">
        <f>IF(AND(Table1[[#This Row],[Status]] = "Delivered", Table1[[#This Row],[Actual Delivery]] &lt;= Table1[[#This Row],[Promised Delivery]],Table1[[#This Row],[FillRate]]&gt;=0.95),1,0)</f>
        <v>0</v>
      </c>
      <c r="O640" t="str">
        <f>VLOOKUP(B640,Products!$A$2:$D$9,3,FALSE)</f>
        <v>Raw Material</v>
      </c>
    </row>
    <row r="641" spans="1:15" x14ac:dyDescent="0.25">
      <c r="A641" s="15" t="s">
        <v>669</v>
      </c>
      <c r="B641" s="5" t="s">
        <v>30</v>
      </c>
      <c r="C641" s="5" t="s">
        <v>17</v>
      </c>
      <c r="D641" s="5" t="s">
        <v>28</v>
      </c>
      <c r="E641" s="6">
        <v>45633</v>
      </c>
      <c r="F641" s="21">
        <v>45639</v>
      </c>
      <c r="G641" s="21">
        <v>45642</v>
      </c>
      <c r="H641" s="5">
        <v>335</v>
      </c>
      <c r="I641" s="5">
        <v>333</v>
      </c>
      <c r="J641" s="4" t="s">
        <v>14</v>
      </c>
      <c r="K641">
        <f>Table1[[#This Row],[Delivered Qty]]/Table1[[#This Row],[Ordered Qty]]</f>
        <v>0.99402985074626871</v>
      </c>
      <c r="L641">
        <f>VLOOKUP(Table1[[#This Row],[Supplier ID]],Suppliers!$A$2:$D$6,4,FALSE)</f>
        <v>6</v>
      </c>
      <c r="M641">
        <f>Table1[[#This Row],[Actual Delivery]]-Table1[[#This Row],[Order Date]]-Table1[[#This Row],[std Lead time]]</f>
        <v>3</v>
      </c>
      <c r="N641">
        <f>IF(AND(Table1[[#This Row],[Status]] = "Delivered", Table1[[#This Row],[Actual Delivery]] &lt;= Table1[[#This Row],[Promised Delivery]],Table1[[#This Row],[FillRate]]&gt;=0.95),1,0)</f>
        <v>0</v>
      </c>
      <c r="O641" t="str">
        <f>VLOOKUP(B641,Products!$A$2:$D$9,3,FALSE)</f>
        <v>Finished Goods</v>
      </c>
    </row>
  </sheetData>
  <pageMargins left="0.75" right="0.75" top="1" bottom="1" header="0.511811023622047" footer="0.511811023622047"/>
  <pageSetup paperSize="9" orientation="portrait" horizontalDpi="300" verticalDpi="300"/>
  <tableParts count="1">
    <tablePart r:id="rId1"/>
  </tablePart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D49"/>
  <sheetViews>
    <sheetView zoomScaleNormal="100" workbookViewId="0">
      <pane ySplit="1" topLeftCell="A7" activePane="bottomLeft" state="frozen"/>
      <selection pane="bottomLeft" activeCell="E1" sqref="E1"/>
    </sheetView>
  </sheetViews>
  <sheetFormatPr defaultColWidth="8.7109375" defaultRowHeight="15" x14ac:dyDescent="0.25"/>
  <cols>
    <col min="1" max="1" width="10" customWidth="1"/>
    <col min="2" max="2" width="14" customWidth="1"/>
    <col min="3" max="3" width="20" customWidth="1"/>
    <col min="4" max="4" width="16" customWidth="1"/>
  </cols>
  <sheetData>
    <row r="1" spans="1:4" ht="19.5" customHeight="1" x14ac:dyDescent="0.25">
      <c r="A1" s="1" t="s">
        <v>1</v>
      </c>
      <c r="B1" s="1" t="s">
        <v>670</v>
      </c>
      <c r="C1" s="1" t="s">
        <v>671</v>
      </c>
      <c r="D1" s="1" t="s">
        <v>672</v>
      </c>
    </row>
    <row r="2" spans="1:4" x14ac:dyDescent="0.25">
      <c r="A2" s="2" t="s">
        <v>11</v>
      </c>
      <c r="B2" s="9">
        <v>45474</v>
      </c>
      <c r="C2" s="2">
        <v>6818</v>
      </c>
      <c r="D2" s="2">
        <v>7601</v>
      </c>
    </row>
    <row r="3" spans="1:4" x14ac:dyDescent="0.25">
      <c r="A3" s="5" t="s">
        <v>11</v>
      </c>
      <c r="B3" s="10">
        <v>45505</v>
      </c>
      <c r="C3" s="5">
        <v>6323</v>
      </c>
      <c r="D3" s="5">
        <v>7823</v>
      </c>
    </row>
    <row r="4" spans="1:4" x14ac:dyDescent="0.25">
      <c r="A4" s="2" t="s">
        <v>11</v>
      </c>
      <c r="B4" s="9">
        <v>45536</v>
      </c>
      <c r="C4" s="2">
        <v>6100</v>
      </c>
      <c r="D4" s="2">
        <v>7905</v>
      </c>
    </row>
    <row r="5" spans="1:4" x14ac:dyDescent="0.25">
      <c r="A5" s="5" t="s">
        <v>11</v>
      </c>
      <c r="B5" s="10">
        <v>45566</v>
      </c>
      <c r="C5" s="5">
        <v>6123</v>
      </c>
      <c r="D5" s="5">
        <v>7348</v>
      </c>
    </row>
    <row r="6" spans="1:4" x14ac:dyDescent="0.25">
      <c r="A6" s="2" t="s">
        <v>11</v>
      </c>
      <c r="B6" s="9">
        <v>45597</v>
      </c>
      <c r="C6" s="2">
        <v>6755</v>
      </c>
      <c r="D6" s="2">
        <v>7566</v>
      </c>
    </row>
    <row r="7" spans="1:4" x14ac:dyDescent="0.25">
      <c r="A7" s="5" t="s">
        <v>11</v>
      </c>
      <c r="B7" s="10">
        <v>45627</v>
      </c>
      <c r="C7" s="5">
        <v>6836</v>
      </c>
      <c r="D7" s="5">
        <v>8023</v>
      </c>
    </row>
    <row r="8" spans="1:4" x14ac:dyDescent="0.25">
      <c r="A8" s="2" t="s">
        <v>16</v>
      </c>
      <c r="B8" s="9">
        <v>45474</v>
      </c>
      <c r="C8" s="2">
        <v>6240</v>
      </c>
      <c r="D8" s="2">
        <v>7630</v>
      </c>
    </row>
    <row r="9" spans="1:4" x14ac:dyDescent="0.25">
      <c r="A9" s="5" t="s">
        <v>16</v>
      </c>
      <c r="B9" s="10">
        <v>45505</v>
      </c>
      <c r="C9" s="5">
        <v>6057</v>
      </c>
      <c r="D9" s="5">
        <v>7580</v>
      </c>
    </row>
    <row r="10" spans="1:4" x14ac:dyDescent="0.25">
      <c r="A10" s="2" t="s">
        <v>16</v>
      </c>
      <c r="B10" s="9">
        <v>45536</v>
      </c>
      <c r="C10" s="2">
        <v>6800</v>
      </c>
      <c r="D10" s="2">
        <v>7317</v>
      </c>
    </row>
    <row r="11" spans="1:4" x14ac:dyDescent="0.25">
      <c r="A11" s="5" t="s">
        <v>16</v>
      </c>
      <c r="B11" s="10">
        <v>45566</v>
      </c>
      <c r="C11" s="5">
        <v>6124</v>
      </c>
      <c r="D11" s="5">
        <v>7200</v>
      </c>
    </row>
    <row r="12" spans="1:4" x14ac:dyDescent="0.25">
      <c r="A12" s="2" t="s">
        <v>16</v>
      </c>
      <c r="B12" s="9">
        <v>45597</v>
      </c>
      <c r="C12" s="2">
        <v>6627</v>
      </c>
      <c r="D12" s="2">
        <v>7944</v>
      </c>
    </row>
    <row r="13" spans="1:4" x14ac:dyDescent="0.25">
      <c r="A13" s="5" t="s">
        <v>16</v>
      </c>
      <c r="B13" s="10">
        <v>45627</v>
      </c>
      <c r="C13" s="5">
        <v>6761</v>
      </c>
      <c r="D13" s="5">
        <v>7571</v>
      </c>
    </row>
    <row r="14" spans="1:4" x14ac:dyDescent="0.25">
      <c r="A14" s="2" t="s">
        <v>33</v>
      </c>
      <c r="B14" s="9">
        <v>45474</v>
      </c>
      <c r="C14" s="2">
        <v>3571</v>
      </c>
      <c r="D14" s="2">
        <v>3739</v>
      </c>
    </row>
    <row r="15" spans="1:4" x14ac:dyDescent="0.25">
      <c r="A15" s="5" t="s">
        <v>33</v>
      </c>
      <c r="B15" s="10">
        <v>45505</v>
      </c>
      <c r="C15" s="5">
        <v>3219</v>
      </c>
      <c r="D15" s="5">
        <v>3277</v>
      </c>
    </row>
    <row r="16" spans="1:4" x14ac:dyDescent="0.25">
      <c r="A16" s="2" t="s">
        <v>33</v>
      </c>
      <c r="B16" s="9">
        <v>45536</v>
      </c>
      <c r="C16" s="2">
        <v>3398</v>
      </c>
      <c r="D16" s="2">
        <v>3713</v>
      </c>
    </row>
    <row r="17" spans="1:4" x14ac:dyDescent="0.25">
      <c r="A17" s="5" t="s">
        <v>33</v>
      </c>
      <c r="B17" s="10">
        <v>45566</v>
      </c>
      <c r="C17" s="5">
        <v>3304</v>
      </c>
      <c r="D17" s="5">
        <v>3266</v>
      </c>
    </row>
    <row r="18" spans="1:4" x14ac:dyDescent="0.25">
      <c r="A18" s="2" t="s">
        <v>33</v>
      </c>
      <c r="B18" s="9">
        <v>45597</v>
      </c>
      <c r="C18" s="2">
        <v>3554</v>
      </c>
      <c r="D18" s="2">
        <v>3079</v>
      </c>
    </row>
    <row r="19" spans="1:4" x14ac:dyDescent="0.25">
      <c r="A19" s="5" t="s">
        <v>33</v>
      </c>
      <c r="B19" s="10">
        <v>45627</v>
      </c>
      <c r="C19" s="5">
        <v>3670</v>
      </c>
      <c r="D19" s="5">
        <v>3421</v>
      </c>
    </row>
    <row r="20" spans="1:4" x14ac:dyDescent="0.25">
      <c r="A20" s="2" t="s">
        <v>20</v>
      </c>
      <c r="B20" s="9">
        <v>45474</v>
      </c>
      <c r="C20" s="2">
        <v>4929</v>
      </c>
      <c r="D20" s="2">
        <v>4598</v>
      </c>
    </row>
    <row r="21" spans="1:4" x14ac:dyDescent="0.25">
      <c r="A21" s="5" t="s">
        <v>20</v>
      </c>
      <c r="B21" s="10">
        <v>45505</v>
      </c>
      <c r="C21" s="5">
        <v>5080</v>
      </c>
      <c r="D21" s="5">
        <v>5627</v>
      </c>
    </row>
    <row r="22" spans="1:4" x14ac:dyDescent="0.25">
      <c r="A22" s="2" t="s">
        <v>20</v>
      </c>
      <c r="B22" s="9">
        <v>45536</v>
      </c>
      <c r="C22" s="2">
        <v>4855</v>
      </c>
      <c r="D22" s="2">
        <v>4939</v>
      </c>
    </row>
    <row r="23" spans="1:4" x14ac:dyDescent="0.25">
      <c r="A23" s="5" t="s">
        <v>20</v>
      </c>
      <c r="B23" s="10">
        <v>45566</v>
      </c>
      <c r="C23" s="5">
        <v>4796</v>
      </c>
      <c r="D23" s="5">
        <v>5606</v>
      </c>
    </row>
    <row r="24" spans="1:4" x14ac:dyDescent="0.25">
      <c r="A24" s="2" t="s">
        <v>20</v>
      </c>
      <c r="B24" s="9">
        <v>45597</v>
      </c>
      <c r="C24" s="2">
        <v>5481</v>
      </c>
      <c r="D24" s="2">
        <v>4966</v>
      </c>
    </row>
    <row r="25" spans="1:4" x14ac:dyDescent="0.25">
      <c r="A25" s="5" t="s">
        <v>20</v>
      </c>
      <c r="B25" s="10">
        <v>45627</v>
      </c>
      <c r="C25" s="5">
        <v>5496</v>
      </c>
      <c r="D25" s="5">
        <v>4681</v>
      </c>
    </row>
    <row r="26" spans="1:4" x14ac:dyDescent="0.25">
      <c r="A26" s="2" t="s">
        <v>37</v>
      </c>
      <c r="B26" s="9">
        <v>45474</v>
      </c>
      <c r="C26" s="2">
        <v>7498</v>
      </c>
      <c r="D26" s="2">
        <v>8622</v>
      </c>
    </row>
    <row r="27" spans="1:4" x14ac:dyDescent="0.25">
      <c r="A27" s="5" t="s">
        <v>37</v>
      </c>
      <c r="B27" s="10">
        <v>45505</v>
      </c>
      <c r="C27" s="5">
        <v>8299</v>
      </c>
      <c r="D27" s="5">
        <v>7553</v>
      </c>
    </row>
    <row r="28" spans="1:4" x14ac:dyDescent="0.25">
      <c r="A28" s="2" t="s">
        <v>37</v>
      </c>
      <c r="B28" s="9">
        <v>45536</v>
      </c>
      <c r="C28" s="2">
        <v>7730</v>
      </c>
      <c r="D28" s="2">
        <v>7703</v>
      </c>
    </row>
    <row r="29" spans="1:4" x14ac:dyDescent="0.25">
      <c r="A29" s="5" t="s">
        <v>37</v>
      </c>
      <c r="B29" s="10">
        <v>45566</v>
      </c>
      <c r="C29" s="5">
        <v>8160</v>
      </c>
      <c r="D29" s="5">
        <v>8650</v>
      </c>
    </row>
    <row r="30" spans="1:4" x14ac:dyDescent="0.25">
      <c r="A30" s="2" t="s">
        <v>37</v>
      </c>
      <c r="B30" s="9">
        <v>45597</v>
      </c>
      <c r="C30" s="2">
        <v>8341</v>
      </c>
      <c r="D30" s="2">
        <v>7676</v>
      </c>
    </row>
    <row r="31" spans="1:4" x14ac:dyDescent="0.25">
      <c r="A31" s="5" t="s">
        <v>37</v>
      </c>
      <c r="B31" s="10">
        <v>45627</v>
      </c>
      <c r="C31" s="5">
        <v>7674</v>
      </c>
      <c r="D31" s="5">
        <v>7367</v>
      </c>
    </row>
    <row r="32" spans="1:4" x14ac:dyDescent="0.25">
      <c r="A32" s="2" t="s">
        <v>30</v>
      </c>
      <c r="B32" s="9">
        <v>45474</v>
      </c>
      <c r="C32" s="2">
        <v>10695</v>
      </c>
      <c r="D32" s="2">
        <v>11538</v>
      </c>
    </row>
    <row r="33" spans="1:4" x14ac:dyDescent="0.25">
      <c r="A33" s="5" t="s">
        <v>30</v>
      </c>
      <c r="B33" s="10">
        <v>45505</v>
      </c>
      <c r="C33" s="5">
        <v>11512</v>
      </c>
      <c r="D33" s="5">
        <v>10794</v>
      </c>
    </row>
    <row r="34" spans="1:4" x14ac:dyDescent="0.25">
      <c r="A34" s="2" t="s">
        <v>30</v>
      </c>
      <c r="B34" s="9">
        <v>45536</v>
      </c>
      <c r="C34" s="2">
        <v>12232</v>
      </c>
      <c r="D34" s="2">
        <v>12255</v>
      </c>
    </row>
    <row r="35" spans="1:4" x14ac:dyDescent="0.25">
      <c r="A35" s="5" t="s">
        <v>30</v>
      </c>
      <c r="B35" s="10">
        <v>45566</v>
      </c>
      <c r="C35" s="5">
        <v>11557</v>
      </c>
      <c r="D35" s="5">
        <v>10520</v>
      </c>
    </row>
    <row r="36" spans="1:4" x14ac:dyDescent="0.25">
      <c r="A36" s="2" t="s">
        <v>30</v>
      </c>
      <c r="B36" s="9">
        <v>45597</v>
      </c>
      <c r="C36" s="2">
        <v>11077</v>
      </c>
      <c r="D36" s="2">
        <v>12497</v>
      </c>
    </row>
    <row r="37" spans="1:4" x14ac:dyDescent="0.25">
      <c r="A37" s="5" t="s">
        <v>30</v>
      </c>
      <c r="B37" s="10">
        <v>45627</v>
      </c>
      <c r="C37" s="5">
        <v>11496</v>
      </c>
      <c r="D37" s="5">
        <v>10190</v>
      </c>
    </row>
    <row r="38" spans="1:4" x14ac:dyDescent="0.25">
      <c r="A38" s="2" t="s">
        <v>22</v>
      </c>
      <c r="B38" s="9">
        <v>45474</v>
      </c>
      <c r="C38" s="2">
        <v>3458</v>
      </c>
      <c r="D38" s="2">
        <v>3621</v>
      </c>
    </row>
    <row r="39" spans="1:4" x14ac:dyDescent="0.25">
      <c r="A39" s="5" t="s">
        <v>22</v>
      </c>
      <c r="B39" s="10">
        <v>45505</v>
      </c>
      <c r="C39" s="5">
        <v>3255</v>
      </c>
      <c r="D39" s="5">
        <v>3102</v>
      </c>
    </row>
    <row r="40" spans="1:4" x14ac:dyDescent="0.25">
      <c r="A40" s="2" t="s">
        <v>22</v>
      </c>
      <c r="B40" s="9">
        <v>45536</v>
      </c>
      <c r="C40" s="2">
        <v>3434</v>
      </c>
      <c r="D40" s="2">
        <v>3207</v>
      </c>
    </row>
    <row r="41" spans="1:4" x14ac:dyDescent="0.25">
      <c r="A41" s="5" t="s">
        <v>22</v>
      </c>
      <c r="B41" s="10">
        <v>45566</v>
      </c>
      <c r="C41" s="5">
        <v>3528</v>
      </c>
      <c r="D41" s="5">
        <v>3552</v>
      </c>
    </row>
    <row r="42" spans="1:4" x14ac:dyDescent="0.25">
      <c r="A42" s="2" t="s">
        <v>22</v>
      </c>
      <c r="B42" s="9">
        <v>45597</v>
      </c>
      <c r="C42" s="2">
        <v>3661</v>
      </c>
      <c r="D42" s="2">
        <v>3641</v>
      </c>
    </row>
    <row r="43" spans="1:4" x14ac:dyDescent="0.25">
      <c r="A43" s="5" t="s">
        <v>22</v>
      </c>
      <c r="B43" s="10">
        <v>45627</v>
      </c>
      <c r="C43" s="5">
        <v>3539</v>
      </c>
      <c r="D43" s="5">
        <v>3318</v>
      </c>
    </row>
    <row r="44" spans="1:4" x14ac:dyDescent="0.25">
      <c r="A44" s="2" t="s">
        <v>44</v>
      </c>
      <c r="B44" s="9">
        <v>45474</v>
      </c>
      <c r="C44" s="2">
        <v>6458</v>
      </c>
      <c r="D44" s="2">
        <v>6502</v>
      </c>
    </row>
    <row r="45" spans="1:4" x14ac:dyDescent="0.25">
      <c r="A45" s="5" t="s">
        <v>44</v>
      </c>
      <c r="B45" s="10">
        <v>45505</v>
      </c>
      <c r="C45" s="5">
        <v>6279</v>
      </c>
      <c r="D45" s="5">
        <v>6956</v>
      </c>
    </row>
    <row r="46" spans="1:4" x14ac:dyDescent="0.25">
      <c r="A46" s="2" t="s">
        <v>44</v>
      </c>
      <c r="B46" s="9">
        <v>45536</v>
      </c>
      <c r="C46" s="2">
        <v>6501</v>
      </c>
      <c r="D46" s="2">
        <v>6194</v>
      </c>
    </row>
    <row r="47" spans="1:4" x14ac:dyDescent="0.25">
      <c r="A47" s="5" t="s">
        <v>44</v>
      </c>
      <c r="B47" s="10">
        <v>45566</v>
      </c>
      <c r="C47" s="5">
        <v>5878</v>
      </c>
      <c r="D47" s="5">
        <v>6714</v>
      </c>
    </row>
    <row r="48" spans="1:4" x14ac:dyDescent="0.25">
      <c r="A48" s="2" t="s">
        <v>44</v>
      </c>
      <c r="B48" s="9">
        <v>45597</v>
      </c>
      <c r="C48" s="2">
        <v>6665</v>
      </c>
      <c r="D48" s="2">
        <v>6198</v>
      </c>
    </row>
    <row r="49" spans="1:4" x14ac:dyDescent="0.25">
      <c r="A49" s="5" t="s">
        <v>44</v>
      </c>
      <c r="B49" s="10">
        <v>45627</v>
      </c>
      <c r="C49" s="5">
        <v>6201</v>
      </c>
      <c r="D49" s="5">
        <v>6522</v>
      </c>
    </row>
  </sheetData>
  <pageMargins left="0.75" right="0.75" top="1" bottom="1" header="0.511811023622047" footer="0.511811023622047"/>
  <pageSetup paperSize="9" orientation="portrait" horizontalDpi="300" verticalDpi="300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D9"/>
  <sheetViews>
    <sheetView zoomScaleNormal="100" workbookViewId="0"/>
  </sheetViews>
  <sheetFormatPr defaultColWidth="8.7109375" defaultRowHeight="15" x14ac:dyDescent="0.25"/>
  <cols>
    <col min="1" max="1" width="10" customWidth="1"/>
    <col min="2" max="2" width="28" customWidth="1"/>
    <col min="3" max="4" width="18" customWidth="1"/>
  </cols>
  <sheetData>
    <row r="1" spans="1:4" ht="19.5" customHeight="1" x14ac:dyDescent="0.25">
      <c r="A1" s="1" t="s">
        <v>1</v>
      </c>
      <c r="B1" s="1" t="s">
        <v>673</v>
      </c>
      <c r="C1" s="1" t="s">
        <v>674</v>
      </c>
      <c r="D1" s="1" t="s">
        <v>675</v>
      </c>
    </row>
    <row r="2" spans="1:4" x14ac:dyDescent="0.25">
      <c r="A2" s="2" t="s">
        <v>11</v>
      </c>
      <c r="B2" s="2" t="s">
        <v>676</v>
      </c>
      <c r="C2" s="2" t="s">
        <v>677</v>
      </c>
      <c r="D2" s="11">
        <v>12.5</v>
      </c>
    </row>
    <row r="3" spans="1:4" x14ac:dyDescent="0.25">
      <c r="A3" s="5" t="s">
        <v>16</v>
      </c>
      <c r="B3" s="5" t="s">
        <v>678</v>
      </c>
      <c r="C3" s="5" t="s">
        <v>677</v>
      </c>
      <c r="D3" s="12">
        <v>8</v>
      </c>
    </row>
    <row r="4" spans="1:4" x14ac:dyDescent="0.25">
      <c r="A4" s="2" t="s">
        <v>33</v>
      </c>
      <c r="B4" s="2" t="s">
        <v>679</v>
      </c>
      <c r="C4" s="2" t="s">
        <v>680</v>
      </c>
      <c r="D4" s="11">
        <v>45</v>
      </c>
    </row>
    <row r="5" spans="1:4" x14ac:dyDescent="0.25">
      <c r="A5" s="5" t="s">
        <v>20</v>
      </c>
      <c r="B5" s="5" t="s">
        <v>681</v>
      </c>
      <c r="C5" s="5" t="s">
        <v>680</v>
      </c>
      <c r="D5" s="12">
        <v>62</v>
      </c>
    </row>
    <row r="6" spans="1:4" x14ac:dyDescent="0.25">
      <c r="A6" s="2" t="s">
        <v>37</v>
      </c>
      <c r="B6" s="2" t="s">
        <v>682</v>
      </c>
      <c r="C6" s="2" t="s">
        <v>680</v>
      </c>
      <c r="D6" s="11">
        <v>38.5</v>
      </c>
    </row>
    <row r="7" spans="1:4" x14ac:dyDescent="0.25">
      <c r="A7" s="5" t="s">
        <v>30</v>
      </c>
      <c r="B7" s="5" t="s">
        <v>683</v>
      </c>
      <c r="C7" s="5" t="s">
        <v>684</v>
      </c>
      <c r="D7" s="12">
        <v>22</v>
      </c>
    </row>
    <row r="8" spans="1:4" x14ac:dyDescent="0.25">
      <c r="A8" s="2" t="s">
        <v>22</v>
      </c>
      <c r="B8" s="2" t="s">
        <v>685</v>
      </c>
      <c r="C8" s="2" t="s">
        <v>684</v>
      </c>
      <c r="D8" s="11">
        <v>18</v>
      </c>
    </row>
    <row r="9" spans="1:4" x14ac:dyDescent="0.25">
      <c r="A9" s="5" t="s">
        <v>44</v>
      </c>
      <c r="B9" s="5" t="s">
        <v>686</v>
      </c>
      <c r="C9" s="5" t="s">
        <v>684</v>
      </c>
      <c r="D9" s="12">
        <v>15</v>
      </c>
    </row>
  </sheetData>
  <pageMargins left="0.75" right="0.75" top="1" bottom="1" header="0.511811023622047" footer="0.511811023622047"/>
  <pageSetup paperSize="9" orientation="portrait" horizontalDpi="300" verticalDpi="300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D6"/>
  <sheetViews>
    <sheetView zoomScaleNormal="100" workbookViewId="0"/>
  </sheetViews>
  <sheetFormatPr defaultColWidth="8.7109375" defaultRowHeight="15" x14ac:dyDescent="0.25"/>
  <cols>
    <col min="1" max="1" width="13" customWidth="1"/>
    <col min="2" max="2" width="26" customWidth="1"/>
    <col min="3" max="3" width="12" customWidth="1"/>
    <col min="4" max="4" width="22" customWidth="1"/>
  </cols>
  <sheetData>
    <row r="1" spans="1:4" ht="19.5" customHeight="1" x14ac:dyDescent="0.25">
      <c r="A1" s="1" t="s">
        <v>2</v>
      </c>
      <c r="B1" s="1" t="s">
        <v>687</v>
      </c>
      <c r="C1" s="1" t="s">
        <v>688</v>
      </c>
      <c r="D1" s="1" t="s">
        <v>689</v>
      </c>
    </row>
    <row r="2" spans="1:4" x14ac:dyDescent="0.25">
      <c r="A2" s="2" t="s">
        <v>26</v>
      </c>
      <c r="B2" s="2" t="s">
        <v>690</v>
      </c>
      <c r="C2" s="2" t="s">
        <v>691</v>
      </c>
      <c r="D2" s="2">
        <v>7</v>
      </c>
    </row>
    <row r="3" spans="1:4" x14ac:dyDescent="0.25">
      <c r="A3" s="5" t="s">
        <v>31</v>
      </c>
      <c r="B3" s="5" t="s">
        <v>692</v>
      </c>
      <c r="C3" s="5" t="s">
        <v>691</v>
      </c>
      <c r="D3" s="5">
        <v>5</v>
      </c>
    </row>
    <row r="4" spans="1:4" x14ac:dyDescent="0.25">
      <c r="A4" s="2" t="s">
        <v>12</v>
      </c>
      <c r="B4" s="2" t="s">
        <v>693</v>
      </c>
      <c r="C4" s="2" t="s">
        <v>694</v>
      </c>
      <c r="D4" s="2">
        <v>18</v>
      </c>
    </row>
    <row r="5" spans="1:4" x14ac:dyDescent="0.25">
      <c r="A5" s="5" t="s">
        <v>57</v>
      </c>
      <c r="B5" s="5" t="s">
        <v>695</v>
      </c>
      <c r="C5" s="5" t="s">
        <v>696</v>
      </c>
      <c r="D5" s="5">
        <v>21</v>
      </c>
    </row>
    <row r="6" spans="1:4" x14ac:dyDescent="0.25">
      <c r="A6" s="2" t="s">
        <v>17</v>
      </c>
      <c r="B6" s="2" t="s">
        <v>697</v>
      </c>
      <c r="C6" s="2" t="s">
        <v>691</v>
      </c>
      <c r="D6" s="2">
        <v>6</v>
      </c>
    </row>
  </sheetData>
  <pageMargins left="0.75" right="0.75" top="1" bottom="1" header="0.511811023622047" footer="0.511811023622047"/>
  <pageSetup paperSize="9" orientation="portrait" horizontalDpi="300" verticalDpi="300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E16CCCA-5475-42D3-BD9D-7A6FEF008B01}">
  <dimension ref="A5:B12"/>
  <sheetViews>
    <sheetView tabSelected="1" workbookViewId="0">
      <selection activeCell="B11" sqref="B11"/>
    </sheetView>
  </sheetViews>
  <sheetFormatPr defaultRowHeight="15" x14ac:dyDescent="0.25"/>
  <cols>
    <col min="1" max="1" width="41.42578125" customWidth="1"/>
    <col min="2" max="2" width="41.140625" customWidth="1"/>
    <col min="3" max="3" width="47" customWidth="1"/>
    <col min="5" max="5" width="18.85546875" bestFit="1" customWidth="1"/>
    <col min="6" max="6" width="12.7109375" bestFit="1" customWidth="1"/>
    <col min="7" max="9" width="12" bestFit="1" customWidth="1"/>
    <col min="10" max="12" width="4" bestFit="1" customWidth="1"/>
    <col min="13" max="13" width="11.28515625" bestFit="1" customWidth="1"/>
  </cols>
  <sheetData>
    <row r="5" spans="1:2" x14ac:dyDescent="0.25">
      <c r="A5" t="s">
        <v>698</v>
      </c>
      <c r="B5" t="s">
        <v>699</v>
      </c>
    </row>
    <row r="6" spans="1:2" x14ac:dyDescent="0.25">
      <c r="A6" t="s">
        <v>701</v>
      </c>
      <c r="B6" cm="1">
        <f t="array" ref="B6">SUMPRODUCT((Orders!J2:J641="Delivered")*(Orders!G2:G641&lt;=Orders!F2:F641)*(Orders!K2:K641&gt;=0.95))</f>
        <v>196</v>
      </c>
    </row>
    <row r="7" spans="1:2" x14ac:dyDescent="0.25">
      <c r="A7" t="s">
        <v>702</v>
      </c>
      <c r="B7">
        <f>COUNTIF(Table1[Status],"Delivered")</f>
        <v>605</v>
      </c>
    </row>
    <row r="8" spans="1:2" x14ac:dyDescent="0.25">
      <c r="A8" t="s">
        <v>700</v>
      </c>
      <c r="B8">
        <f>B6/B7 * 100</f>
        <v>32.396694214876035</v>
      </c>
    </row>
    <row r="9" spans="1:2" x14ac:dyDescent="0.25">
      <c r="A9" t="s">
        <v>703</v>
      </c>
      <c r="B9">
        <f>COUNTA(Orders!A2:A641)</f>
        <v>640</v>
      </c>
    </row>
    <row r="10" spans="1:2" x14ac:dyDescent="0.25">
      <c r="A10" t="s">
        <v>704</v>
      </c>
      <c r="B10">
        <f>(SUM(Table1[Delivered Qty])/SUM(Table1[Ordered Qty]))*100</f>
        <v>93.628503718685664</v>
      </c>
    </row>
    <row r="11" spans="1:2" x14ac:dyDescent="0.25">
      <c r="A11" t="s">
        <v>705</v>
      </c>
      <c r="B11" cm="1">
        <f t="array" ref="B11">SUMPRODUCT((1-ABS((Demand_Forecast!C2:C49-Demand_Forecast!D2:D49)/Demand_Forecast!D2:D49)))*100/48</f>
        <v>90.913095787636564</v>
      </c>
    </row>
    <row r="12" spans="1:2" x14ac:dyDescent="0.25">
      <c r="A12" t="s">
        <v>706</v>
      </c>
      <c r="B12">
        <f>AVERAGE(Table1[LT Variance])</f>
        <v>0.5078125</v>
      </c>
    </row>
  </sheetData>
  <pageMargins left="0.7" right="0.7" top="0.75" bottom="0.75" header="0.3" footer="0.3"/>
  <drawing r:id="rId1"/>
  <tableParts count="1">
    <tablePart r:id="rId2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7</vt:i4>
      </vt:variant>
    </vt:vector>
  </HeadingPairs>
  <TitlesOfParts>
    <vt:vector size="7" baseType="lpstr">
      <vt:lpstr>pivot-orders</vt:lpstr>
      <vt:lpstr>Sheet6</vt:lpstr>
      <vt:lpstr>Orders</vt:lpstr>
      <vt:lpstr>Demand_Forecast</vt:lpstr>
      <vt:lpstr>Products</vt:lpstr>
      <vt:lpstr>Suppliers</vt:lpstr>
      <vt:lpstr>Summary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openpyxl</dc:creator>
  <dc:description/>
  <cp:lastModifiedBy>Rishi chandran</cp:lastModifiedBy>
  <cp:revision>0</cp:revision>
  <dcterms:created xsi:type="dcterms:W3CDTF">2026-03-28T04:04:28Z</dcterms:created>
  <dcterms:modified xsi:type="dcterms:W3CDTF">2026-06-17T03:12:54Z</dcterms:modified>
  <dc:language>en-US</dc:language>
</cp:coreProperties>
</file>